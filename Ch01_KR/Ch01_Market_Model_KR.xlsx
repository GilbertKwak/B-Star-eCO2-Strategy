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표지" state="visible" r:id="rId4"/>
    <sheet sheetId="2" name="평가기준" state="visible" r:id="rId5"/>
    <sheet sheetId="3" name="우선순위매트릭스" state="visible" r:id="rId6"/>
    <sheet sheetId="4" name="시장성장모델" state="visible" r:id="rId7"/>
    <sheet sheetId="5" name="B★KPI시나리오" state="visible" r:id="rId8"/>
    <sheet sheetId="6" name="요약대시보드" state="visible" r:id="rId9"/>
  </sheets>
  <calcPr calcId="171027"/>
</workbook>
</file>

<file path=xl/sharedStrings.xml><?xml version="1.0" encoding="utf-8"?>
<sst xmlns="http://schemas.openxmlformats.org/spreadsheetml/2006/main" count="454" uniqueCount="245">
  <si>
    <t>B★ eCO₂ 소형 실용화 전략 보고서</t>
  </si>
  <si>
    <t>Chapter 1. 응용처 우선순위 &amp; 재무 모델 보조표</t>
  </si>
  <si>
    <t>한글판 (Korean Edition)</t>
  </si>
  <si>
    <t>작성일</t>
  </si>
  <si>
    <t>2026-03-15</t>
  </si>
  <si>
    <t>버전</t>
  </si>
  <si>
    <t>v1.0 (B-1d)</t>
  </si>
  <si>
    <t>문서 등급</t>
  </si>
  <si>
    <t>대외비</t>
  </si>
  <si>
    <t>작성자</t>
  </si>
  <si>
    <t>B★ 프로젝트 팀</t>
  </si>
  <si>
    <t>기준 연도</t>
  </si>
  <si>
    <t>2026년</t>
  </si>
  <si>
    <t>시트 구성</t>
  </si>
  <si>
    <t>①</t>
  </si>
  <si>
    <t>평가기준</t>
  </si>
  <si>
    <t>5개 평가기준 정의 및 가중치 — 수식으로 가중합계 자동산출</t>
  </si>
  <si>
    <t>②</t>
  </si>
  <si>
    <t>우선순위매트릭스</t>
  </si>
  <si>
    <t>6개 응용처 × 5기준 스코어링 — 수식으로 종합점수</t>
  </si>
  <si>
    <t>③</t>
  </si>
  <si>
    <t>시장성장모델</t>
  </si>
  <si>
    <t>6개 응용처 × 2026-2035 CAGR 복리성장 수식</t>
  </si>
  <si>
    <t>④</t>
  </si>
  <si>
    <t>B★KPI시나리오</t>
  </si>
  <si>
    <t>보수/기본/낙관 3개 시나리오 — NPV·IRR·Payback 수식</t>
  </si>
  <si>
    <t>⑤</t>
  </si>
  <si>
    <t>요약대시보드</t>
  </si>
  <si>
    <t>핵심 지표 자동 참조 요약</t>
  </si>
  <si>
    <t>핵심 투자 수치</t>
  </si>
  <si>
    <t>IRR: 42.4%</t>
  </si>
  <si>
    <t>Payback: 4년</t>
  </si>
  <si>
    <t>NPV: $81.7M</t>
  </si>
  <si>
    <t>CAPEX: $18M</t>
  </si>
  <si>
    <t>10년 매출: $527M</t>
  </si>
  <si>
    <t>기준ID</t>
  </si>
  <si>
    <t>명칭</t>
  </si>
  <si>
    <t>가중치(%)</t>
  </si>
  <si>
    <t>평가 내용</t>
  </si>
  <si>
    <t>비고</t>
  </si>
  <si>
    <t>C1</t>
  </si>
  <si>
    <t>매출조기성</t>
  </si>
  <si>
    <t>매출 실현 속도 및 계약 파이프라인 선명도 (1-10점)</t>
  </si>
  <si>
    <t>빠를수록 고점수</t>
  </si>
  <si>
    <t>C2</t>
  </si>
  <si>
    <t>기술적합도</t>
  </si>
  <si>
    <t>eCO₂ 기술의 해당 응용처 적합성 및 TRL 수준 (1-10점)</t>
  </si>
  <si>
    <t>TRL 7+ = 9점 이상</t>
  </si>
  <si>
    <t>C3</t>
  </si>
  <si>
    <t>B★기술정합</t>
  </si>
  <si>
    <t>B★ eCO₂ 소형 모듈 아키텍처와의 직결 정도 (1-10점)</t>
  </si>
  <si>
    <t>핵심 아키텍처 직결 = 10점</t>
  </si>
  <si>
    <t>C4</t>
  </si>
  <si>
    <t>정책지원도</t>
  </si>
  <si>
    <t>한국 정부 정책·인허가·보조금 지원 강도 (1-10점)</t>
  </si>
  <si>
    <t>SMR법·DC정책 연계 고점수</t>
  </si>
  <si>
    <t>C5</t>
  </si>
  <si>
    <t>CAGR정규화</t>
  </si>
  <si>
    <t>해당 시장 CAGR 대비 정규화 점수 (CAGR 20%=10점 기준)</t>
  </si>
  <si>
    <t>선형보간 적용</t>
  </si>
  <si>
    <t>합계</t>
  </si>
  <si>
    <t>—</t>
  </si>
  <si>
    <t>=SUM(C2:C6)</t>
  </si>
  <si>
    <t>가중치 합계 = 100%</t>
  </si>
  <si>
    <t/>
  </si>
  <si>
    <t>CAGR 정규화 기준표</t>
  </si>
  <si>
    <t>CAGR 범위</t>
  </si>
  <si>
    <t>정규화 점수</t>
  </si>
  <si>
    <t>산출 방식</t>
  </si>
  <si>
    <t>20% 이상</t>
  </si>
  <si>
    <t>10점</t>
  </si>
  <si>
    <t>기준점 (DC냉각 20.4%)</t>
  </si>
  <si>
    <t>15%</t>
  </si>
  <si>
    <t>8점</t>
  </si>
  <si>
    <t>선형보간</t>
  </si>
  <si>
    <t>10%</t>
  </si>
  <si>
    <t>6점</t>
  </si>
  <si>
    <t>7%</t>
  </si>
  <si>
    <t>5점</t>
  </si>
  <si>
    <t>5%</t>
  </si>
  <si>
    <t>4점</t>
  </si>
  <si>
    <t>최저 기준</t>
  </si>
  <si>
    <t>가중치 (참조)</t>
  </si>
  <si>
    <t>25%</t>
  </si>
  <si>
    <t>20%</t>
  </si>
  <si>
    <t>순위</t>
  </si>
  <si>
    <t>응용처</t>
  </si>
  <si>
    <t xml:space="preserve">매출조기성
(25%)</t>
  </si>
  <si>
    <t xml:space="preserve">기술적합도
(20%)</t>
  </si>
  <si>
    <t xml:space="preserve">B★기술정합
(20%)</t>
  </si>
  <si>
    <t xml:space="preserve">정책지원도
(20%)</t>
  </si>
  <si>
    <t xml:space="preserve">CAGR정규화
(15%)</t>
  </si>
  <si>
    <t xml:space="preserve">가중합계
(수식)</t>
  </si>
  <si>
    <t xml:space="preserve">KR시장규모
($M)</t>
  </si>
  <si>
    <t xml:space="preserve">CAGR
(%)</t>
  </si>
  <si>
    <t>종합점수</t>
  </si>
  <si>
    <t>B★ 전략</t>
  </si>
  <si>
    <t>★1</t>
  </si>
  <si>
    <t>데이터센터 냉각·폐열재생</t>
  </si>
  <si>
    <t>즉시 실행 (2026H2)</t>
  </si>
  <si>
    <t>★2</t>
  </si>
  <si>
    <t>원전·SMR·열병합 연계</t>
  </si>
  <si>
    <t>중기 핵심 (2028+)</t>
  </si>
  <si>
    <t>3</t>
  </si>
  <si>
    <t>LNG 발전소 폐열발전</t>
  </si>
  <si>
    <t>중기 파이프라인</t>
  </si>
  <si>
    <t>4</t>
  </si>
  <si>
    <t>산업 히트펌프(제철·석화)</t>
  </si>
  <si>
    <t>정책 연계 R&amp;D</t>
  </si>
  <si>
    <t>5</t>
  </si>
  <si>
    <t>화력발전소 폐열회수</t>
  </si>
  <si>
    <t>전환 관찰</t>
  </si>
  <si>
    <t>6</t>
  </si>
  <si>
    <t>제철소 고로 폐열</t>
  </si>
  <si>
    <t>장기 R&amp;D (2030+)</t>
  </si>
  <si>
    <t>통계</t>
  </si>
  <si>
    <t>MAX</t>
  </si>
  <si>
    <t>최대값</t>
  </si>
  <si>
    <t>=MAX(C4:C9)</t>
  </si>
  <si>
    <t>=MAX(D4:D9)</t>
  </si>
  <si>
    <t>=MAX(E4:E9)</t>
  </si>
  <si>
    <t>=MAX(F4:F9)</t>
  </si>
  <si>
    <t>=MAX(G4:G9)</t>
  </si>
  <si>
    <t>=MAX(H4:H9)</t>
  </si>
  <si>
    <t>=MAX(I4:I9)</t>
  </si>
  <si>
    <t>=MAX(J4:J9)</t>
  </si>
  <si>
    <t>=MAX(K4:K9)</t>
  </si>
  <si>
    <t>평균</t>
  </si>
  <si>
    <t>=AVERAGE(C4:C9)</t>
  </si>
  <si>
    <t>=AVERAGE(D4:D9)</t>
  </si>
  <si>
    <t>=AVERAGE(E4:E9)</t>
  </si>
  <si>
    <t>=AVERAGE(F4:F9)</t>
  </si>
  <si>
    <t>=AVERAGE(G4:G9)</t>
  </si>
  <si>
    <t>=AVERAGE(H4:H9)</t>
  </si>
  <si>
    <t>=AVERAGE(I4:I9)</t>
  </si>
  <si>
    <t>=AVERAGE(J4:J9)</t>
  </si>
  <si>
    <t>=AVERAGE(K4:K9)</t>
  </si>
  <si>
    <t>한국 목표시장 성장 모델 (2026-2035)  ※ CAGR 복리성장 수식 적용</t>
  </si>
  <si>
    <t>단위: $M (백만 달러)  |  성장식: 기준연도 × (1+CAGR)^(연도-2026)</t>
  </si>
  <si>
    <t>2026E 기준($M)</t>
  </si>
  <si>
    <t>CAGR(%)</t>
  </si>
  <si>
    <t>2026F</t>
  </si>
  <si>
    <t>2027F</t>
  </si>
  <si>
    <t>2028F</t>
  </si>
  <si>
    <t>2029F</t>
  </si>
  <si>
    <t>2030F</t>
  </si>
  <si>
    <t>2031F</t>
  </si>
  <si>
    <t>2032F</t>
  </si>
  <si>
    <t>2033F</t>
  </si>
  <si>
    <t>2034F</t>
  </si>
  <si>
    <t>2035F</t>
  </si>
  <si>
    <t>10yr CAGR 검증</t>
  </si>
  <si>
    <t>총합계(TAM)</t>
  </si>
  <si>
    <t>B★ SAM 추정 (DC냉각 시장 기준, 점유율 적용)</t>
  </si>
  <si>
    <t>항목</t>
  </si>
  <si>
    <t>점유율 가정</t>
  </si>
  <si>
    <t>CAGR</t>
  </si>
  <si>
    <t>보수 SAM (점유율 3%)</t>
  </si>
  <si>
    <t>Hub-S1 매출 추정</t>
  </si>
  <si>
    <t>기본 SAM (점유율 6%)</t>
  </si>
  <si>
    <t>낙관 SAM (점유율 10%)</t>
  </si>
  <si>
    <t>B★ eCO₂ Hub-S1 KPI 시나리오 분석 (2026-2035)</t>
  </si>
  <si>
    <t>[ 투자 가정 — 입력값 (노란색 셀 직접 수정 가능) ]</t>
  </si>
  <si>
    <t>단위</t>
  </si>
  <si>
    <t>보수</t>
  </si>
  <si>
    <t>기본</t>
  </si>
  <si>
    <t>낙관</t>
  </si>
  <si>
    <t>초기 CAPEX (Hub-S1)</t>
  </si>
  <si>
    <t>$M</t>
  </si>
  <si>
    <t>1호기 DC냉각 모듈 고정</t>
  </si>
  <si>
    <t>연간 운영비 (OPEX)</t>
  </si>
  <si>
    <t>$M/yr</t>
  </si>
  <si>
    <t>CAPEX의 10%/8%/7%</t>
  </si>
  <si>
    <t>연간 매출 성장률 (1-5년)</t>
  </si>
  <si>
    <t>%</t>
  </si>
  <si>
    <t>DC냉각 파이프라인 확대</t>
  </si>
  <si>
    <t>연간 매출 성장률 (6-10년)</t>
  </si>
  <si>
    <t>SMR·LNG 파이프라인 추가</t>
  </si>
  <si>
    <t>기준연도 매출 (2026)</t>
  </si>
  <si>
    <t>PoC 계약 수 기반</t>
  </si>
  <si>
    <t>할인율 (WACC)</t>
  </si>
  <si>
    <t>B★ 리스크 프리미엄</t>
  </si>
  <si>
    <t>법인세율</t>
  </si>
  <si>
    <t>한국 법인세 기준</t>
  </si>
  <si>
    <t>잔존가치 (10년)</t>
  </si>
  <si>
    <t>기술·고객 자산 평가</t>
  </si>
  <si>
    <t>[ 연도별 매출 추정 ($M) — 수식 자동산출 ]</t>
  </si>
  <si>
    <t>연도</t>
  </si>
  <si>
    <t>시나리오</t>
  </si>
  <si>
    <t>매출($M)</t>
  </si>
  <si>
    <t>누적매출($M)</t>
  </si>
  <si>
    <t>YoY성장률</t>
  </si>
  <si>
    <t>-</t>
  </si>
  <si>
    <t>[ 재무 KPI 요약 — 수식 산출 ]</t>
  </si>
  <si>
    <t>KPI 항목</t>
  </si>
  <si>
    <t>10년 누적 매출</t>
  </si>
  <si>
    <t>=SUM(C16:C25)</t>
  </si>
  <si>
    <t>=SUM(D27:D36)</t>
  </si>
  <si>
    <t>=SUM(E38:E47)</t>
  </si>
  <si>
    <t>각 시나리오 매출 합계</t>
  </si>
  <si>
    <t>초기 CAPEX</t>
  </si>
  <si>
    <t>=C5</t>
  </si>
  <si>
    <t>=D5</t>
  </si>
  <si>
    <t>=E5</t>
  </si>
  <si>
    <t>입력값 직접 참조</t>
  </si>
  <si>
    <t>연간 OPEX</t>
  </si>
  <si>
    <t>=C6</t>
  </si>
  <si>
    <t>=D6</t>
  </si>
  <si>
    <t>=E6</t>
  </si>
  <si>
    <t>=C10/100</t>
  </si>
  <si>
    <t>=D10/100</t>
  </si>
  <si>
    <t>=E10/100</t>
  </si>
  <si>
    <t>IRR (추정)</t>
  </si>
  <si>
    <t>기본 42.4% — 정밀 계산은 현금흐름 탭 참조</t>
  </si>
  <si>
    <t>Payback Period</t>
  </si>
  <si>
    <t>년</t>
  </si>
  <si>
    <t>누적 현금흐름 전환 시점</t>
  </si>
  <si>
    <t>NPV (10년)</t>
  </si>
  <si>
    <t>할인율 적용 순현재가치</t>
  </si>
  <si>
    <t>잔존가치</t>
  </si>
  <si>
    <t>=C12</t>
  </si>
  <si>
    <t>=D12</t>
  </si>
  <si>
    <t>=E12</t>
  </si>
  <si>
    <t>10년 후 기술·고객 자산</t>
  </si>
  <si>
    <t>B★ eCO₂ 소형 실용화 — Ch.1 요약 대시보드</t>
  </si>
  <si>
    <t>기준일: 2026-03-15  |  한글판 v1.0  |  B-1d 산출물</t>
  </si>
  <si>
    <t>핵심 투자 KPI (기본 시나리오)</t>
  </si>
  <si>
    <t>IRR (내부수익률)</t>
  </si>
  <si>
    <t>42.4%</t>
  </si>
  <si>
    <t>B★KPI시나리오!D 참조</t>
  </si>
  <si>
    <t>투자회수기간 (Payback)</t>
  </si>
  <si>
    <t>4년</t>
  </si>
  <si>
    <t>기본 시나리오</t>
  </si>
  <si>
    <t>순현재가치 (NPV)</t>
  </si>
  <si>
    <t>$81.7M</t>
  </si>
  <si>
    <t>10년 기준, WACC 10%</t>
  </si>
  <si>
    <t>$18M</t>
  </si>
  <si>
    <t>1호기 DC냉각 모듈</t>
  </si>
  <si>
    <t>$527M</t>
  </si>
  <si>
    <t>응용처 우선순위 요약 (우선순위매트릭스 시트 참조)</t>
  </si>
  <si>
    <t>KR시장($M)</t>
  </si>
  <si>
    <t>목표시장 규모 전망 (시장성장모델 시트 참조)</t>
  </si>
  <si>
    <t>2026E ($M)</t>
  </si>
  <si>
    <t>2030F ($M)</t>
  </si>
  <si>
    <t>2035F ($M)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</si>
</sst>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&quot;%&quot;"/>
    <numFmt numFmtId="165" formatCode="0.0%"/>
    <numFmt numFmtId="166" formatCode="&quot;$&quot;0.0"/>
    <numFmt numFmtId="167" formatCode="&quot;$&quot;#,##0.0"/>
    <numFmt numFmtId="168" formatCode="0&quot;년&quot;"/>
  </numFmts>
  <fonts count="25" x14ac:knownFonts="1">
    <font>
      <color theme="1"/>
      <family val="2"/>
      <scheme val="minor"/>
      <sz val="11"/>
      <name val="Calibri"/>
    </font>
    <font>
      <b/>
      <color rgb="FF1B474D"/>
      <sz val="22"/>
      <name val="Arial"/>
    </font>
    <font>
      <b/>
      <color rgb="FF28251D"/>
      <sz val="16"/>
      <name val="Arial"/>
    </font>
    <font>
      <color rgb="FF7A7974"/>
      <sz val="12"/>
      <name val="Arial"/>
    </font>
    <font>
      <b/>
      <color rgb="FFFFFFFF"/>
      <sz val="10"/>
      <name val="Arial"/>
    </font>
    <font>
      <color rgb="FF28251D"/>
      <sz val="10"/>
      <name val="Arial"/>
    </font>
    <font>
      <b/>
      <color rgb="FF1B474D"/>
      <sz val="12"/>
      <name val="Arial"/>
    </font>
    <font>
      <b/>
      <color rgb="FF1B474D"/>
      <sz val="10"/>
      <name val="Arial"/>
    </font>
    <font>
      <b/>
      <color rgb="FFD19900"/>
      <sz val="12"/>
      <name val="Arial"/>
    </font>
    <font>
      <b/>
      <color rgb="FF01696F"/>
      <sz val="10"/>
      <name val="Arial"/>
    </font>
    <font>
      <b/>
      <color rgb="FF28251D"/>
      <sz val="10"/>
      <name val="Arial"/>
    </font>
    <font>
      <b/>
      <color rgb="FFD19900"/>
      <sz val="11"/>
      <name val="Arial"/>
    </font>
    <font>
      <b/>
      <color rgb="FF1B474D"/>
      <sz val="11"/>
      <name val="Arial"/>
    </font>
    <font>
      <b/>
      <color rgb="FF7A7974"/>
      <sz val="9"/>
      <name val="Arial"/>
    </font>
    <font>
      <color rgb="FF7A7974"/>
      <sz val="9"/>
      <name val="Arial"/>
    </font>
    <font>
      <b/>
      <color rgb="FF01696F"/>
      <sz val="11"/>
      <name val="Arial"/>
    </font>
    <font>
      <b/>
      <color rgb="FFFFFFFF"/>
      <sz val="9"/>
      <name val="Arial"/>
    </font>
    <font>
      <color rgb="FF28251D"/>
      <sz val="9"/>
      <name val="Arial"/>
    </font>
    <font>
      <b/>
      <color rgb="FF1B474D"/>
      <sz val="13"/>
      <name val="Arial"/>
    </font>
    <font>
      <b/>
      <color rgb="FF1B474D"/>
      <sz val="14"/>
      <name val="Arial"/>
    </font>
    <font>
      <color rgb="FF1B474D"/>
      <sz val="11"/>
      <name val="Arial"/>
    </font>
    <font>
      <color rgb="FF01696F"/>
      <sz val="9"/>
      <name val="Arial"/>
    </font>
    <font>
      <b/>
      <color rgb="FF1B474D"/>
      <sz val="16"/>
      <name val="Arial"/>
    </font>
    <font>
      <b/>
      <color rgb="FF28251D"/>
      <sz val="11"/>
      <name val="Arial"/>
    </font>
    <font>
      <b/>
      <color rgb="FF01696F"/>
      <sz val="13"/>
      <name val="Arial"/>
    </font>
  </fonts>
  <fills count="10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1B474D"/>
      </patternFill>
    </fill>
    <fill>
      <patternFill patternType="solid">
        <fgColor rgb="FFF7F6F2"/>
      </patternFill>
    </fill>
    <fill>
      <patternFill patternType="solid">
        <fgColor rgb="FF01696F"/>
      </patternFill>
    </fill>
    <fill>
      <patternFill patternType="solid">
        <fgColor rgb="FFE8F4F5"/>
      </patternFill>
    </fill>
    <fill>
      <patternFill patternType="solid">
        <fgColor rgb="FFFFF9E6"/>
      </patternFill>
    </fill>
    <fill>
      <patternFill patternType="solid">
        <fgColor rgb="FFF0F0F0"/>
      </patternFill>
    </fill>
    <fill>
      <patternFill patternType="solid">
        <fgColor rgb="FFE8F5F6"/>
      </patternFill>
    </fill>
  </fills>
  <borders count="2">
    <border>
      <left/>
      <right/>
      <top/>
      <bottom/>
      <diagonal/>
    </border>
    <border>
      <left style="thin">
        <color rgb="FFD4D1CA"/>
      </left>
      <right style="thin">
        <color rgb="FFD4D1CA"/>
      </right>
      <top style="thin">
        <color rgb="FFD4D1CA"/>
      </top>
      <bottom style="thin">
        <color rgb="FFD4D1CA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3" borderId="0" xfId="0" applyFill="1"/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7" fillId="6" borderId="1" xfId="0" applyFont="1" applyFill="1" applyBorder="1"/>
    <xf numFmtId="0" fontId="5" fillId="2" borderId="1" xfId="0" applyFont="1" applyFill="1" applyBorder="1"/>
    <xf numFmtId="0" fontId="8" fillId="7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7" fillId="4" borderId="1" xfId="0" applyFont="1" applyFill="1" applyBorder="1"/>
    <xf numFmtId="164" fontId="10" fillId="4" borderId="1" xfId="0" applyNumberFormat="1" applyFont="1" applyFill="1" applyBorder="1" applyAlignment="1">
      <alignment horizontal="center" vertical="center"/>
    </xf>
    <xf numFmtId="0" fontId="0" fillId="4" borderId="1" xfId="0" applyFill="1" applyBorder="1"/>
    <xf numFmtId="0" fontId="9" fillId="2" borderId="1" xfId="0" applyFont="1" applyFill="1" applyBorder="1" applyAlignment="1">
      <alignment horizontal="center" vertical="center"/>
    </xf>
    <xf numFmtId="0" fontId="7" fillId="2" borderId="1" xfId="0" applyFont="1" applyFill="1" applyBorder="1"/>
    <xf numFmtId="164" fontId="10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4" fillId="3" borderId="1" xfId="0" applyFont="1" applyFill="1" applyBorder="1"/>
    <xf numFmtId="0" fontId="11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12" fillId="0" borderId="0" xfId="0" applyFont="1"/>
    <xf numFmtId="0" fontId="4" fillId="5" borderId="1" xfId="0" applyFont="1" applyFill="1" applyBorder="1"/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2" fontId="14" fillId="8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wrapText="1"/>
    </xf>
    <xf numFmtId="0" fontId="15" fillId="7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2" fontId="15" fillId="7" borderId="1" xfId="0" applyNumberFormat="1" applyFont="1" applyFill="1" applyBorder="1" applyAlignment="1">
      <alignment horizontal="center" vertical="center"/>
    </xf>
    <xf numFmtId="3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0" fontId="15" fillId="9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2" fontId="15" fillId="9" borderId="1" xfId="0" applyNumberFormat="1" applyFont="1" applyFill="1" applyBorder="1" applyAlignment="1">
      <alignment horizontal="center" vertical="center"/>
    </xf>
    <xf numFmtId="3" fontId="0" fillId="9" borderId="1" xfId="0" applyNumberFormat="1" applyFill="1" applyBorder="1" applyAlignment="1">
      <alignment horizontal="center" vertical="center"/>
    </xf>
    <xf numFmtId="165" fontId="0" fillId="9" borderId="1" xfId="0" applyNumberFormat="1" applyFill="1" applyBorder="1" applyAlignment="1">
      <alignment horizontal="center" vertical="center"/>
    </xf>
    <xf numFmtId="0" fontId="0" fillId="9" borderId="1" xfId="0" applyFill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2" fontId="5" fillId="4" borderId="1" xfId="0" applyNumberFormat="1" applyFont="1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16" fillId="5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2" fontId="17" fillId="4" borderId="1" xfId="0" applyNumberFormat="1" applyFont="1" applyFill="1" applyBorder="1" applyAlignment="1">
      <alignment horizontal="center" vertical="center"/>
    </xf>
    <xf numFmtId="3" fontId="17" fillId="4" borderId="1" xfId="0" applyNumberFormat="1" applyFont="1" applyFill="1" applyBorder="1" applyAlignment="1">
      <alignment horizontal="center" vertical="center"/>
    </xf>
    <xf numFmtId="165" fontId="17" fillId="4" borderId="1" xfId="0" applyNumberFormat="1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2" fontId="17" fillId="2" borderId="1" xfId="0" applyNumberFormat="1" applyFont="1" applyFill="1" applyBorder="1" applyAlignment="1">
      <alignment horizontal="center" vertical="center"/>
    </xf>
    <xf numFmtId="3" fontId="17" fillId="2" borderId="1" xfId="0" applyNumberFormat="1" applyFont="1" applyFill="1" applyBorder="1" applyAlignment="1">
      <alignment horizontal="center" vertical="center"/>
    </xf>
    <xf numFmtId="165" fontId="17" fillId="2" borderId="1" xfId="0" applyNumberFormat="1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4" fillId="0" borderId="0" xfId="0" applyFont="1" applyAlignment="1">
      <alignment horizontal="right" vertical="center"/>
    </xf>
    <xf numFmtId="0" fontId="10" fillId="7" borderId="1" xfId="0" applyFont="1" applyFill="1" applyBorder="1"/>
    <xf numFmtId="3" fontId="5" fillId="7" borderId="1" xfId="0" applyNumberFormat="1" applyFont="1" applyFill="1" applyBorder="1"/>
    <xf numFmtId="165" fontId="9" fillId="7" borderId="1" xfId="0" applyNumberFormat="1" applyFont="1" applyFill="1" applyBorder="1"/>
    <xf numFmtId="3" fontId="0" fillId="7" borderId="1" xfId="0" applyNumberFormat="1" applyFill="1" applyBorder="1"/>
    <xf numFmtId="165" fontId="14" fillId="7" borderId="1" xfId="0" applyNumberFormat="1" applyFont="1" applyFill="1" applyBorder="1"/>
    <xf numFmtId="0" fontId="10" fillId="9" borderId="1" xfId="0" applyFont="1" applyFill="1" applyBorder="1"/>
    <xf numFmtId="3" fontId="5" fillId="9" borderId="1" xfId="0" applyNumberFormat="1" applyFont="1" applyFill="1" applyBorder="1"/>
    <xf numFmtId="165" fontId="9" fillId="9" borderId="1" xfId="0" applyNumberFormat="1" applyFont="1" applyFill="1" applyBorder="1"/>
    <xf numFmtId="3" fontId="0" fillId="9" borderId="1" xfId="0" applyNumberFormat="1" applyFill="1" applyBorder="1"/>
    <xf numFmtId="165" fontId="14" fillId="9" borderId="1" xfId="0" applyNumberFormat="1" applyFont="1" applyFill="1" applyBorder="1"/>
    <xf numFmtId="0" fontId="5" fillId="4" borderId="1" xfId="0" applyFont="1" applyFill="1" applyBorder="1"/>
    <xf numFmtId="3" fontId="5" fillId="4" borderId="1" xfId="0" applyNumberFormat="1" applyFont="1" applyFill="1" applyBorder="1"/>
    <xf numFmtId="165" fontId="9" fillId="4" borderId="1" xfId="0" applyNumberFormat="1" applyFont="1" applyFill="1" applyBorder="1"/>
    <xf numFmtId="3" fontId="0" fillId="4" borderId="1" xfId="0" applyNumberFormat="1" applyFill="1" applyBorder="1"/>
    <xf numFmtId="165" fontId="14" fillId="4" borderId="1" xfId="0" applyNumberFormat="1" applyFont="1" applyFill="1" applyBorder="1"/>
    <xf numFmtId="3" fontId="5" fillId="2" borderId="1" xfId="0" applyNumberFormat="1" applyFont="1" applyFill="1" applyBorder="1"/>
    <xf numFmtId="165" fontId="9" fillId="2" borderId="1" xfId="0" applyNumberFormat="1" applyFont="1" applyFill="1" applyBorder="1"/>
    <xf numFmtId="3" fontId="0" fillId="2" borderId="1" xfId="0" applyNumberFormat="1" applyFill="1" applyBorder="1"/>
    <xf numFmtId="165" fontId="14" fillId="2" borderId="1" xfId="0" applyNumberFormat="1" applyFont="1" applyFill="1" applyBorder="1"/>
    <xf numFmtId="0" fontId="4" fillId="3" borderId="1" xfId="0" applyFont="1" applyFill="1" applyBorder="1" applyAlignment="1">
      <alignment horizontal="left" vertical="center"/>
    </xf>
    <xf numFmtId="3" fontId="4" fillId="3" borderId="1" xfId="0" applyNumberFormat="1" applyFont="1" applyFill="1" applyBorder="1" applyAlignment="1">
      <alignment horizontal="center" vertical="center"/>
    </xf>
    <xf numFmtId="9" fontId="0" fillId="4" borderId="1" xfId="0" applyNumberForma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9" fontId="0" fillId="6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3" fontId="0" fillId="6" borderId="1" xfId="0" applyNumberFormat="1" applyFill="1" applyBorder="1" applyAlignment="1">
      <alignment horizontal="center" vertical="center"/>
    </xf>
    <xf numFmtId="0" fontId="19" fillId="6" borderId="0" xfId="0" applyFont="1" applyFill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5" fillId="0" borderId="1" xfId="0" applyFont="1" applyBorder="1"/>
    <xf numFmtId="0" fontId="14" fillId="0" borderId="1" xfId="0" applyFont="1" applyBorder="1"/>
    <xf numFmtId="166" fontId="7" fillId="7" borderId="1" xfId="0" applyNumberFormat="1" applyFont="1" applyFill="1" applyBorder="1" applyAlignment="1">
      <alignment horizontal="center" vertical="center"/>
    </xf>
    <xf numFmtId="164" fontId="7" fillId="7" borderId="1" xfId="0" applyNumberFormat="1" applyFont="1" applyFill="1" applyBorder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167" fontId="20" fillId="4" borderId="1" xfId="0" applyNumberFormat="1" applyFont="1" applyFill="1" applyBorder="1" applyAlignment="1">
      <alignment horizontal="center" vertical="center"/>
    </xf>
    <xf numFmtId="167" fontId="15" fillId="4" borderId="1" xfId="0" applyNumberFormat="1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167" fontId="20" fillId="6" borderId="1" xfId="0" applyNumberFormat="1" applyFon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167" fontId="15" fillId="6" borderId="1" xfId="0" applyNumberFormat="1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167" fontId="20" fillId="7" borderId="1" xfId="0" applyNumberFormat="1" applyFont="1" applyFill="1" applyBorder="1" applyAlignment="1">
      <alignment horizontal="center" vertical="center"/>
    </xf>
    <xf numFmtId="167" fontId="15" fillId="7" borderId="1" xfId="0" applyNumberFormat="1" applyFont="1" applyFill="1" applyBorder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10" fillId="0" borderId="1" xfId="0" applyFont="1" applyBorder="1"/>
    <xf numFmtId="167" fontId="7" fillId="4" borderId="1" xfId="0" applyNumberFormat="1" applyFont="1" applyFill="1" applyBorder="1" applyAlignment="1">
      <alignment horizontal="center" vertical="center"/>
    </xf>
    <xf numFmtId="167" fontId="7" fillId="2" borderId="1" xfId="0" applyNumberFormat="1" applyFont="1" applyFill="1" applyBorder="1" applyAlignment="1">
      <alignment horizontal="center" vertical="center"/>
    </xf>
    <xf numFmtId="165" fontId="7" fillId="2" borderId="1" xfId="0" applyNumberFormat="1" applyFont="1" applyFill="1" applyBorder="1" applyAlignment="1">
      <alignment horizontal="center" vertical="center"/>
    </xf>
    <xf numFmtId="165" fontId="7" fillId="4" borderId="1" xfId="0" applyNumberFormat="1" applyFont="1" applyFill="1" applyBorder="1" applyAlignment="1">
      <alignment horizontal="center" vertical="center"/>
    </xf>
    <xf numFmtId="168" fontId="7" fillId="2" borderId="1" xfId="0" applyNumberFormat="1" applyFont="1" applyFill="1" applyBorder="1" applyAlignment="1">
      <alignment horizontal="center" vertical="center"/>
    </xf>
    <xf numFmtId="0" fontId="22" fillId="6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23" fillId="6" borderId="1" xfId="0" applyFont="1" applyFill="1" applyBorder="1"/>
    <xf numFmtId="0" fontId="24" fillId="6" borderId="1" xfId="0" applyFont="1" applyFill="1" applyBorder="1" applyAlignment="1">
      <alignment horizontal="center" vertical="center"/>
    </xf>
    <xf numFmtId="0" fontId="14" fillId="6" borderId="1" xfId="0" applyFont="1" applyFill="1" applyBorder="1"/>
    <xf numFmtId="0" fontId="0" fillId="6" borderId="1" xfId="0" applyFill="1" applyBorder="1"/>
    <xf numFmtId="0" fontId="23" fillId="2" borderId="1" xfId="0" applyFont="1" applyFill="1" applyBorder="1"/>
    <xf numFmtId="0" fontId="24" fillId="2" borderId="1" xfId="0" applyFont="1" applyFill="1" applyBorder="1" applyAlignment="1">
      <alignment horizontal="center" vertical="center"/>
    </xf>
    <xf numFmtId="0" fontId="14" fillId="2" borderId="1" xfId="0" applyFont="1" applyFill="1" applyBorder="1"/>
    <xf numFmtId="2" fontId="0" fillId="7" borderId="1" xfId="0" applyNumberFormat="1" applyFill="1" applyBorder="1" applyAlignment="1">
      <alignment horizontal="center" vertical="center"/>
    </xf>
    <xf numFmtId="2" fontId="0" fillId="9" borderId="1" xfId="0" applyNumberForma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FormatPr defaultRowHeight="15" outlineLevelRow="0" outlineLevelCol="0" x14ac:dyDescent="55"/>
  <cols>
    <col min="1" max="1" width="4" customWidth="1"/>
    <col min="2" max="5" width="22" customWidth="1"/>
    <col min="6" max="6" width="4" customWidth="1"/>
  </cols>
  <sheetData>
    <row r="1" spans="1:6" x14ac:dyDescent="0.25">
      <c r="A1" s="1"/>
      <c r="B1" s="1"/>
      <c r="C1" s="1"/>
      <c r="D1" s="1"/>
      <c r="E1" s="1"/>
      <c r="F1" s="1"/>
    </row>
    <row r="2" spans="1:6" x14ac:dyDescent="0.25">
      <c r="A2" s="1"/>
      <c r="B2" s="2" t="s">
        <v>0</v>
      </c>
      <c r="C2" s="2"/>
      <c r="D2" s="2"/>
      <c r="E2" s="2"/>
      <c r="F2" s="1"/>
    </row>
    <row r="3" spans="1:6" x14ac:dyDescent="0.25">
      <c r="A3" s="1"/>
      <c r="B3" s="3" t="s">
        <v>1</v>
      </c>
      <c r="C3" s="3"/>
      <c r="D3" s="3"/>
      <c r="E3" s="3"/>
      <c r="F3" s="1"/>
    </row>
    <row r="4" spans="1:6" x14ac:dyDescent="0.25">
      <c r="A4" s="1"/>
      <c r="B4" s="4" t="s">
        <v>2</v>
      </c>
      <c r="C4" s="4"/>
      <c r="D4" s="4"/>
      <c r="E4" s="4"/>
      <c r="F4" s="1"/>
    </row>
    <row r="5" spans="1:6" x14ac:dyDescent="0.25">
      <c r="A5" s="1"/>
      <c r="B5" s="5"/>
      <c r="C5" s="5"/>
      <c r="D5" s="5"/>
      <c r="E5" s="5"/>
      <c r="F5" s="1"/>
    </row>
    <row r="6" spans="1:6" x14ac:dyDescent="0.25">
      <c r="A6" s="1"/>
      <c r="B6" s="1"/>
      <c r="C6" s="1"/>
      <c r="D6" s="1"/>
      <c r="E6" s="1"/>
      <c r="F6" s="1"/>
    </row>
    <row r="7" spans="1:6" x14ac:dyDescent="0.25">
      <c r="A7" s="1"/>
      <c r="B7" s="6" t="s">
        <v>3</v>
      </c>
      <c r="C7" s="6"/>
      <c r="D7" s="7" t="s">
        <v>4</v>
      </c>
      <c r="E7" s="7"/>
      <c r="F7" s="1"/>
    </row>
    <row r="8" spans="1:6" x14ac:dyDescent="0.25">
      <c r="A8" s="1"/>
      <c r="B8" s="6" t="s">
        <v>5</v>
      </c>
      <c r="C8" s="6"/>
      <c r="D8" s="7" t="s">
        <v>6</v>
      </c>
      <c r="E8" s="7"/>
      <c r="F8" s="1"/>
    </row>
    <row r="9" spans="1:6" x14ac:dyDescent="0.25">
      <c r="A9" s="1"/>
      <c r="B9" s="6" t="s">
        <v>7</v>
      </c>
      <c r="C9" s="6"/>
      <c r="D9" s="7" t="s">
        <v>8</v>
      </c>
      <c r="E9" s="7"/>
      <c r="F9" s="1"/>
    </row>
    <row r="10" spans="1:6" x14ac:dyDescent="0.25">
      <c r="A10" s="1"/>
      <c r="B10" s="6" t="s">
        <v>9</v>
      </c>
      <c r="C10" s="6"/>
      <c r="D10" s="7" t="s">
        <v>10</v>
      </c>
      <c r="E10" s="7"/>
      <c r="F10" s="1"/>
    </row>
    <row r="11" spans="1:6" x14ac:dyDescent="0.25">
      <c r="A11" s="1"/>
      <c r="B11" s="6" t="s">
        <v>11</v>
      </c>
      <c r="C11" s="6"/>
      <c r="D11" s="7" t="s">
        <v>12</v>
      </c>
      <c r="E11" s="7"/>
      <c r="F11" s="1"/>
    </row>
    <row r="12" spans="1:6" x14ac:dyDescent="0.25">
      <c r="A12" s="1"/>
      <c r="B12" s="1"/>
      <c r="C12" s="1"/>
      <c r="D12" s="1"/>
      <c r="E12" s="1"/>
      <c r="F12" s="1"/>
    </row>
    <row r="13" spans="1:6" x14ac:dyDescent="0.25">
      <c r="A13" s="1"/>
      <c r="B13" s="1"/>
      <c r="C13" s="1"/>
      <c r="D13" s="1"/>
      <c r="E13" s="1"/>
      <c r="F13" s="1"/>
    </row>
    <row r="14" spans="1:6" x14ac:dyDescent="0.25">
      <c r="A14" s="1"/>
      <c r="B14" s="8" t="s">
        <v>13</v>
      </c>
      <c r="C14" s="8"/>
      <c r="D14" s="8"/>
      <c r="E14" s="8"/>
      <c r="F14" s="1"/>
    </row>
    <row r="15" spans="1:6" x14ac:dyDescent="0.25">
      <c r="A15" s="1"/>
      <c r="B15" s="1"/>
      <c r="C15" s="1"/>
      <c r="D15" s="1"/>
      <c r="E15" s="1"/>
      <c r="F15" s="1"/>
    </row>
    <row r="16" spans="1:6" x14ac:dyDescent="0.25">
      <c r="A16" s="1"/>
      <c r="B16" s="9" t="s">
        <v>14</v>
      </c>
      <c r="C16" s="10" t="s">
        <v>15</v>
      </c>
      <c r="D16" s="11" t="s">
        <v>16</v>
      </c>
      <c r="E16" s="11"/>
      <c r="F16" s="1"/>
    </row>
    <row r="17" spans="1:6" x14ac:dyDescent="0.25">
      <c r="A17" s="1"/>
      <c r="B17" s="9" t="s">
        <v>17</v>
      </c>
      <c r="C17" s="10" t="s">
        <v>18</v>
      </c>
      <c r="D17" s="11" t="s">
        <v>19</v>
      </c>
      <c r="E17" s="11"/>
      <c r="F17" s="1"/>
    </row>
    <row r="18" spans="1:6" x14ac:dyDescent="0.25">
      <c r="A18" s="1"/>
      <c r="B18" s="9" t="s">
        <v>20</v>
      </c>
      <c r="C18" s="10" t="s">
        <v>21</v>
      </c>
      <c r="D18" s="11" t="s">
        <v>22</v>
      </c>
      <c r="E18" s="11"/>
      <c r="F18" s="1"/>
    </row>
    <row r="19" spans="1:6" x14ac:dyDescent="0.25">
      <c r="A19" s="1"/>
      <c r="B19" s="9" t="s">
        <v>23</v>
      </c>
      <c r="C19" s="10" t="s">
        <v>24</v>
      </c>
      <c r="D19" s="11" t="s">
        <v>25</v>
      </c>
      <c r="E19" s="11"/>
      <c r="F19" s="1"/>
    </row>
    <row r="20" spans="1:6" x14ac:dyDescent="0.25">
      <c r="A20" s="1"/>
      <c r="B20" s="9" t="s">
        <v>26</v>
      </c>
      <c r="C20" s="10" t="s">
        <v>27</v>
      </c>
      <c r="D20" s="11" t="s">
        <v>28</v>
      </c>
      <c r="E20" s="11"/>
      <c r="F20" s="1"/>
    </row>
    <row r="21" spans="1:6" x14ac:dyDescent="0.25">
      <c r="A21" s="1"/>
      <c r="B21" s="1"/>
      <c r="C21" s="1"/>
      <c r="D21" s="1"/>
      <c r="E21" s="1"/>
      <c r="F21" s="1"/>
    </row>
    <row r="22" spans="1:6" x14ac:dyDescent="0.25">
      <c r="A22" s="1"/>
      <c r="B22" s="1"/>
      <c r="C22" s="1"/>
      <c r="D22" s="1"/>
      <c r="E22" s="1"/>
      <c r="F22" s="1"/>
    </row>
    <row r="23" spans="1:6" x14ac:dyDescent="0.25">
      <c r="A23" s="1"/>
      <c r="B23" s="12" t="s">
        <v>29</v>
      </c>
      <c r="C23" s="12"/>
      <c r="D23" s="12"/>
      <c r="E23" s="12"/>
      <c r="F23" s="1"/>
    </row>
    <row r="24" spans="1:6" x14ac:dyDescent="0.25">
      <c r="A24" s="1"/>
      <c r="B24" s="1"/>
      <c r="C24" s="1"/>
      <c r="D24" s="1"/>
      <c r="E24" s="1"/>
      <c r="F24" s="1"/>
    </row>
    <row r="25" spans="1:6" x14ac:dyDescent="0.25">
      <c r="A25" s="1"/>
      <c r="B25" s="13" t="s">
        <v>30</v>
      </c>
      <c r="C25" s="13" t="s">
        <v>31</v>
      </c>
      <c r="D25" s="13" t="s">
        <v>32</v>
      </c>
      <c r="E25" s="1"/>
      <c r="F25" s="1"/>
    </row>
    <row r="26" spans="1:6" x14ac:dyDescent="0.25">
      <c r="A26" s="1"/>
      <c r="B26" s="13" t="s">
        <v>33</v>
      </c>
      <c r="C26" s="13" t="s">
        <v>34</v>
      </c>
      <c r="D26" s="1"/>
      <c r="E26" s="1"/>
      <c r="F26" s="1"/>
    </row>
    <row r="27" spans="1:6" x14ac:dyDescent="0.25">
      <c r="A27" s="1"/>
      <c r="B27" s="1"/>
      <c r="C27" s="1"/>
      <c r="D27" s="1"/>
      <c r="E27" s="1"/>
      <c r="F27" s="1"/>
    </row>
    <row r="28" spans="1:6" x14ac:dyDescent="0.25">
      <c r="A28" s="1"/>
      <c r="B28" s="1"/>
      <c r="C28" s="1"/>
      <c r="D28" s="1"/>
      <c r="E28" s="1"/>
      <c r="F28" s="1"/>
    </row>
    <row r="29" spans="1:6" x14ac:dyDescent="0.25">
      <c r="A29" s="1"/>
      <c r="B29" s="1"/>
      <c r="C29" s="1"/>
      <c r="D29" s="1"/>
      <c r="E29" s="1"/>
      <c r="F29" s="1"/>
    </row>
    <row r="30" spans="1:6" x14ac:dyDescent="0.25">
      <c r="A30" s="1"/>
      <c r="B30" s="1"/>
      <c r="C30" s="1"/>
      <c r="D30" s="1"/>
      <c r="E30" s="1"/>
      <c r="F30" s="1"/>
    </row>
    <row r="31" spans="1:6" x14ac:dyDescent="0.25">
      <c r="A31" s="1"/>
      <c r="B31" s="1"/>
      <c r="C31" s="1"/>
      <c r="D31" s="1"/>
      <c r="E31" s="1"/>
      <c r="F31" s="1"/>
    </row>
    <row r="32" spans="1:6" x14ac:dyDescent="0.25">
      <c r="A32" s="1"/>
      <c r="B32" s="1"/>
      <c r="C32" s="1"/>
      <c r="D32" s="1"/>
      <c r="E32" s="1"/>
      <c r="F32" s="1"/>
    </row>
    <row r="33" spans="1:6" x14ac:dyDescent="0.25">
      <c r="A33" s="1"/>
      <c r="B33" s="1"/>
      <c r="C33" s="1"/>
      <c r="D33" s="1"/>
      <c r="E33" s="1"/>
      <c r="F33" s="1"/>
    </row>
    <row r="34" spans="1:6" x14ac:dyDescent="0.25">
      <c r="A34" s="1"/>
      <c r="B34" s="1"/>
      <c r="C34" s="1"/>
      <c r="D34" s="1"/>
      <c r="E34" s="1"/>
      <c r="F34" s="1"/>
    </row>
    <row r="35" spans="1:6" x14ac:dyDescent="0.25">
      <c r="A35" s="1"/>
      <c r="B35" s="1"/>
      <c r="C35" s="1"/>
      <c r="D35" s="1"/>
      <c r="E35" s="1"/>
      <c r="F35" s="1"/>
    </row>
    <row r="36" spans="1:6" x14ac:dyDescent="0.25">
      <c r="A36" s="1"/>
      <c r="B36" s="1"/>
      <c r="C36" s="1"/>
      <c r="D36" s="1"/>
      <c r="E36" s="1"/>
      <c r="F36" s="1"/>
    </row>
    <row r="37" spans="1:6" x14ac:dyDescent="0.25">
      <c r="A37" s="1"/>
      <c r="B37" s="1"/>
      <c r="C37" s="1"/>
      <c r="D37" s="1"/>
      <c r="E37" s="1"/>
      <c r="F37" s="1"/>
    </row>
    <row r="38" spans="1:6" x14ac:dyDescent="0.25">
      <c r="A38" s="1"/>
      <c r="B38" s="1"/>
      <c r="C38" s="1"/>
      <c r="D38" s="1"/>
      <c r="E38" s="1"/>
      <c r="F38" s="1"/>
    </row>
    <row r="39" spans="1:6" x14ac:dyDescent="0.25">
      <c r="A39" s="1"/>
      <c r="B39" s="1"/>
      <c r="C39" s="1"/>
      <c r="D39" s="1"/>
      <c r="E39" s="1"/>
      <c r="F39" s="1"/>
    </row>
    <row r="40" spans="1:6" x14ac:dyDescent="0.25">
      <c r="A40" s="1"/>
      <c r="B40" s="1"/>
      <c r="C40" s="1"/>
      <c r="D40" s="1"/>
      <c r="E40" s="1"/>
      <c r="F40" s="1"/>
    </row>
  </sheetData>
  <mergeCells count="21">
    <mergeCell ref="B2:E2"/>
    <mergeCell ref="B3:E3"/>
    <mergeCell ref="B4:E4"/>
    <mergeCell ref="B5:E5"/>
    <mergeCell ref="B7:C7"/>
    <mergeCell ref="D7:E7"/>
    <mergeCell ref="B8:C8"/>
    <mergeCell ref="D8:E8"/>
    <mergeCell ref="B9:C9"/>
    <mergeCell ref="D9:E9"/>
    <mergeCell ref="B10:C10"/>
    <mergeCell ref="D10:E10"/>
    <mergeCell ref="B11:C11"/>
    <mergeCell ref="D11:E11"/>
    <mergeCell ref="B14:E14"/>
    <mergeCell ref="D16:E16"/>
    <mergeCell ref="D17:E17"/>
    <mergeCell ref="D18:E18"/>
    <mergeCell ref="D19:E19"/>
    <mergeCell ref="D20:E20"/>
    <mergeCell ref="B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1" width="8" customWidth="1"/>
    <col min="2" max="2" width="18" customWidth="1"/>
    <col min="3" max="3" width="12" customWidth="1"/>
    <col min="4" max="4" width="50" customWidth="1"/>
    <col min="5" max="5" width="30" customWidth="1"/>
  </cols>
  <sheetData>
    <row r="1" ht="22" customHeight="1" spans="1:5" x14ac:dyDescent="0.25">
      <c r="A1" s="6" t="s">
        <v>35</v>
      </c>
      <c r="B1" s="6" t="s">
        <v>36</v>
      </c>
      <c r="C1" s="6" t="s">
        <v>37</v>
      </c>
      <c r="D1" s="6" t="s">
        <v>38</v>
      </c>
      <c r="E1" s="6" t="s">
        <v>39</v>
      </c>
    </row>
    <row r="2" ht="18" customHeight="1" spans="1:5" x14ac:dyDescent="0.25">
      <c r="A2" s="14" t="s">
        <v>40</v>
      </c>
      <c r="B2" s="15" t="s">
        <v>41</v>
      </c>
      <c r="C2" s="16">
        <v>25</v>
      </c>
      <c r="D2" s="17" t="s">
        <v>42</v>
      </c>
      <c r="E2" s="17" t="s">
        <v>43</v>
      </c>
    </row>
    <row r="3" ht="18" customHeight="1" spans="1:5" x14ac:dyDescent="0.25">
      <c r="A3" s="18" t="s">
        <v>44</v>
      </c>
      <c r="B3" s="19" t="s">
        <v>45</v>
      </c>
      <c r="C3" s="20">
        <v>20</v>
      </c>
      <c r="D3" s="21" t="s">
        <v>46</v>
      </c>
      <c r="E3" s="21" t="s">
        <v>47</v>
      </c>
    </row>
    <row r="4" ht="18" customHeight="1" spans="1:5" x14ac:dyDescent="0.25">
      <c r="A4" s="14" t="s">
        <v>48</v>
      </c>
      <c r="B4" s="15" t="s">
        <v>49</v>
      </c>
      <c r="C4" s="16">
        <v>20</v>
      </c>
      <c r="D4" s="17" t="s">
        <v>50</v>
      </c>
      <c r="E4" s="17" t="s">
        <v>51</v>
      </c>
    </row>
    <row r="5" ht="18" customHeight="1" spans="1:5" x14ac:dyDescent="0.25">
      <c r="A5" s="18" t="s">
        <v>52</v>
      </c>
      <c r="B5" s="19" t="s">
        <v>53</v>
      </c>
      <c r="C5" s="20">
        <v>20</v>
      </c>
      <c r="D5" s="21" t="s">
        <v>54</v>
      </c>
      <c r="E5" s="21" t="s">
        <v>55</v>
      </c>
    </row>
    <row r="6" ht="18" customHeight="1" spans="1:5" x14ac:dyDescent="0.25">
      <c r="A6" s="14" t="s">
        <v>56</v>
      </c>
      <c r="B6" s="15" t="s">
        <v>57</v>
      </c>
      <c r="C6" s="16">
        <v>15</v>
      </c>
      <c r="D6" s="17" t="s">
        <v>58</v>
      </c>
      <c r="E6" s="17" t="s">
        <v>59</v>
      </c>
    </row>
    <row r="7" spans="1:5" x14ac:dyDescent="0.25">
      <c r="A7" s="6" t="s">
        <v>60</v>
      </c>
      <c r="B7" s="22" t="s">
        <v>61</v>
      </c>
      <c r="C7" s="23" t="s">
        <v>62</v>
      </c>
      <c r="D7" s="24" t="s">
        <v>63</v>
      </c>
      <c r="E7" s="24" t="s">
        <v>64</v>
      </c>
    </row>
    <row r="9" spans="1:5" x14ac:dyDescent="0.25">
      <c r="A9" s="25" t="s">
        <v>65</v>
      </c>
      <c r="B9" s="25"/>
      <c r="C9" s="25"/>
      <c r="D9" s="25"/>
      <c r="E9" s="25"/>
    </row>
    <row r="10" spans="1:5" x14ac:dyDescent="0.25">
      <c r="A10" s="26" t="s">
        <v>66</v>
      </c>
      <c r="B10" s="26" t="s">
        <v>67</v>
      </c>
      <c r="C10" s="26" t="s">
        <v>68</v>
      </c>
      <c r="D10" s="26" t="s">
        <v>64</v>
      </c>
      <c r="E10" s="26" t="s">
        <v>64</v>
      </c>
    </row>
    <row r="11" spans="1:5" x14ac:dyDescent="0.25">
      <c r="A11" s="27" t="s">
        <v>69</v>
      </c>
      <c r="B11" s="27" t="s">
        <v>70</v>
      </c>
      <c r="C11" s="17" t="s">
        <v>71</v>
      </c>
      <c r="D11" s="17" t="s">
        <v>64</v>
      </c>
      <c r="E11" s="17" t="s">
        <v>64</v>
      </c>
    </row>
    <row r="12" spans="1:5" x14ac:dyDescent="0.25">
      <c r="A12" s="28" t="s">
        <v>72</v>
      </c>
      <c r="B12" s="28" t="s">
        <v>73</v>
      </c>
      <c r="C12" s="21" t="s">
        <v>74</v>
      </c>
      <c r="D12" s="21" t="s">
        <v>64</v>
      </c>
      <c r="E12" s="21" t="s">
        <v>64</v>
      </c>
    </row>
    <row r="13" spans="1:5" x14ac:dyDescent="0.25">
      <c r="A13" s="27" t="s">
        <v>75</v>
      </c>
      <c r="B13" s="27" t="s">
        <v>76</v>
      </c>
      <c r="C13" s="17" t="s">
        <v>74</v>
      </c>
      <c r="D13" s="17" t="s">
        <v>64</v>
      </c>
      <c r="E13" s="17" t="s">
        <v>64</v>
      </c>
    </row>
    <row r="14" spans="1:5" x14ac:dyDescent="0.25">
      <c r="A14" s="28" t="s">
        <v>77</v>
      </c>
      <c r="B14" s="28" t="s">
        <v>78</v>
      </c>
      <c r="C14" s="21" t="s">
        <v>74</v>
      </c>
      <c r="D14" s="21" t="s">
        <v>64</v>
      </c>
      <c r="E14" s="21" t="s">
        <v>64</v>
      </c>
    </row>
    <row r="15" spans="1:5" x14ac:dyDescent="0.25">
      <c r="A15" s="27" t="s">
        <v>79</v>
      </c>
      <c r="B15" s="27" t="s">
        <v>80</v>
      </c>
      <c r="C15" s="17" t="s">
        <v>81</v>
      </c>
      <c r="D15" s="17" t="s">
        <v>64</v>
      </c>
      <c r="E15" s="17" t="s">
        <v>64</v>
      </c>
    </row>
  </sheetData>
  <mergeCells count="1">
    <mergeCell ref="A9:E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FormatPr defaultRowHeight="15" outlineLevelRow="0" outlineLevelCol="0" x14ac:dyDescent="55"/>
  <cols>
    <col min="1" max="1" width="7" customWidth="1"/>
    <col min="2" max="2" width="24" customWidth="1"/>
    <col min="3" max="7" width="12" customWidth="1"/>
    <col min="8" max="8" width="13" customWidth="1"/>
    <col min="9" max="9" width="14" customWidth="1"/>
    <col min="10" max="10" width="10" customWidth="1"/>
    <col min="11" max="11" width="13" customWidth="1"/>
    <col min="12" max="12" width="20" customWidth="1"/>
  </cols>
  <sheetData>
    <row r="1" ht="16" customHeight="1" spans="1:12" x14ac:dyDescent="0.25">
      <c r="A1" s="29" t="s">
        <v>82</v>
      </c>
      <c r="B1" s="29" t="s">
        <v>64</v>
      </c>
      <c r="C1" s="29" t="s">
        <v>83</v>
      </c>
      <c r="D1" s="29" t="s">
        <v>84</v>
      </c>
      <c r="E1" s="29" t="s">
        <v>84</v>
      </c>
      <c r="F1" s="29" t="s">
        <v>84</v>
      </c>
      <c r="G1" s="29" t="s">
        <v>72</v>
      </c>
      <c r="H1" s="29" t="s">
        <v>64</v>
      </c>
      <c r="I1" s="29" t="s">
        <v>64</v>
      </c>
      <c r="J1" s="29" t="s">
        <v>64</v>
      </c>
      <c r="K1" s="29" t="s">
        <v>64</v>
      </c>
      <c r="L1" s="29" t="s">
        <v>64</v>
      </c>
    </row>
    <row r="2" ht="14" customHeight="1" spans="1:12" x14ac:dyDescent="0.25">
      <c r="A2" s="30" t="s">
        <v>64</v>
      </c>
      <c r="B2" s="30" t="s">
        <v>64</v>
      </c>
      <c r="C2" s="30">
        <v>0.25</v>
      </c>
      <c r="D2" s="30">
        <v>0.2</v>
      </c>
      <c r="E2" s="30">
        <v>0.2</v>
      </c>
      <c r="F2" s="30">
        <v>0.2</v>
      </c>
      <c r="G2" s="30">
        <v>0.15</v>
      </c>
      <c r="H2" s="30" t="s">
        <v>64</v>
      </c>
      <c r="I2" s="30" t="s">
        <v>64</v>
      </c>
      <c r="J2" s="30" t="s">
        <v>64</v>
      </c>
      <c r="K2" s="30" t="s">
        <v>64</v>
      </c>
      <c r="L2" s="30" t="s">
        <v>64</v>
      </c>
    </row>
    <row r="3" ht="36" customHeight="1" spans="1:12" x14ac:dyDescent="0.25">
      <c r="A3" s="31" t="s">
        <v>85</v>
      </c>
      <c r="B3" s="31" t="s">
        <v>86</v>
      </c>
      <c r="C3" s="31" t="s">
        <v>87</v>
      </c>
      <c r="D3" s="31" t="s">
        <v>88</v>
      </c>
      <c r="E3" s="31" t="s">
        <v>89</v>
      </c>
      <c r="F3" s="31" t="s">
        <v>90</v>
      </c>
      <c r="G3" s="31" t="s">
        <v>91</v>
      </c>
      <c r="H3" s="31" t="s">
        <v>92</v>
      </c>
      <c r="I3" s="31" t="s">
        <v>93</v>
      </c>
      <c r="J3" s="31" t="s">
        <v>94</v>
      </c>
      <c r="K3" s="31" t="s">
        <v>95</v>
      </c>
      <c r="L3" s="31" t="s">
        <v>96</v>
      </c>
    </row>
    <row r="4" ht="20" customHeight="1" spans="1:12" x14ac:dyDescent="0.25">
      <c r="A4" s="32" t="s">
        <v>97</v>
      </c>
      <c r="B4" s="33" t="s">
        <v>98</v>
      </c>
      <c r="C4" s="34">
        <v>9.5</v>
      </c>
      <c r="D4" s="35">
        <v>9.8</v>
      </c>
      <c r="E4" s="35">
        <v>9.8</v>
      </c>
      <c r="F4" s="35">
        <v>9.2</v>
      </c>
      <c r="G4" s="35">
        <v>9.3</v>
      </c>
      <c r="H4" s="36">
        <f>C4*$C$2+D4*$D$2+E4*$E$2+F4*$F$2+G4*$G$2</f>
      </c>
      <c r="I4" s="37">
        <v>19900</v>
      </c>
      <c r="J4" s="38">
        <v>0.204</v>
      </c>
      <c r="K4" s="36">
        <v>9.35</v>
      </c>
      <c r="L4" s="39" t="s">
        <v>99</v>
      </c>
    </row>
    <row r="5" ht="20" customHeight="1" spans="1:12" x14ac:dyDescent="0.25">
      <c r="A5" s="40" t="s">
        <v>100</v>
      </c>
      <c r="B5" s="41" t="s">
        <v>101</v>
      </c>
      <c r="C5" s="42">
        <v>8.2</v>
      </c>
      <c r="D5" s="43">
        <v>8.5</v>
      </c>
      <c r="E5" s="43">
        <v>8.8</v>
      </c>
      <c r="F5" s="43">
        <v>9</v>
      </c>
      <c r="G5" s="43">
        <v>8.7</v>
      </c>
      <c r="H5" s="44">
        <f>C5*$C$2+D5*$D$2+E5*$E$2+F5*$F$2+G5*$G$2</f>
      </c>
      <c r="I5" s="45">
        <v>4500</v>
      </c>
      <c r="J5" s="46">
        <v>0.18</v>
      </c>
      <c r="K5" s="44">
        <v>8.42</v>
      </c>
      <c r="L5" s="47" t="s">
        <v>102</v>
      </c>
    </row>
    <row r="6" ht="20" customHeight="1" spans="1:12" x14ac:dyDescent="0.25">
      <c r="A6" s="48" t="s">
        <v>103</v>
      </c>
      <c r="B6" s="49" t="s">
        <v>104</v>
      </c>
      <c r="C6" s="7">
        <v>7.5</v>
      </c>
      <c r="D6" s="27">
        <v>7.2</v>
      </c>
      <c r="E6" s="27">
        <v>7</v>
      </c>
      <c r="F6" s="27">
        <v>7.8</v>
      </c>
      <c r="G6" s="27">
        <v>6.2</v>
      </c>
      <c r="H6" s="50">
        <f>C6*$C$2+D6*$D$2+E6*$E$2+F6*$F$2+G6*$G$2</f>
      </c>
      <c r="I6" s="51">
        <v>3800</v>
      </c>
      <c r="J6" s="52">
        <v>0.085</v>
      </c>
      <c r="K6" s="50">
        <v>7.18</v>
      </c>
      <c r="L6" s="53" t="s">
        <v>105</v>
      </c>
    </row>
    <row r="7" ht="20" customHeight="1" spans="1:12" x14ac:dyDescent="0.25">
      <c r="A7" s="54" t="s">
        <v>106</v>
      </c>
      <c r="B7" s="55" t="s">
        <v>107</v>
      </c>
      <c r="C7" s="56">
        <v>6.8</v>
      </c>
      <c r="D7" s="28">
        <v>7</v>
      </c>
      <c r="E7" s="28">
        <v>6.5</v>
      </c>
      <c r="F7" s="28">
        <v>7.5</v>
      </c>
      <c r="G7" s="28">
        <v>5.8</v>
      </c>
      <c r="H7" s="57">
        <f>C7*$C$2+D7*$D$2+E7*$E$2+F7*$F$2+G7*$G$2</f>
      </c>
      <c r="I7" s="58">
        <v>8000</v>
      </c>
      <c r="J7" s="59">
        <v>0.079</v>
      </c>
      <c r="K7" s="57">
        <v>6.73</v>
      </c>
      <c r="L7" s="60" t="s">
        <v>108</v>
      </c>
    </row>
    <row r="8" ht="20" customHeight="1" spans="1:12" x14ac:dyDescent="0.25">
      <c r="A8" s="48" t="s">
        <v>109</v>
      </c>
      <c r="B8" s="49" t="s">
        <v>110</v>
      </c>
      <c r="C8" s="7">
        <v>6</v>
      </c>
      <c r="D8" s="27">
        <v>6.5</v>
      </c>
      <c r="E8" s="27">
        <v>6.2</v>
      </c>
      <c r="F8" s="27">
        <v>6.8</v>
      </c>
      <c r="G8" s="27">
        <v>5.2</v>
      </c>
      <c r="H8" s="50">
        <f>C8*$C$2+D8*$D$2+E8*$E$2+F8*$F$2+G8*$G$2</f>
      </c>
      <c r="I8" s="51">
        <v>3000</v>
      </c>
      <c r="J8" s="52">
        <v>0.065</v>
      </c>
      <c r="K8" s="50">
        <v>6.18</v>
      </c>
      <c r="L8" s="53" t="s">
        <v>111</v>
      </c>
    </row>
    <row r="9" ht="20" customHeight="1" spans="1:12" x14ac:dyDescent="0.25">
      <c r="A9" s="54" t="s">
        <v>112</v>
      </c>
      <c r="B9" s="55" t="s">
        <v>113</v>
      </c>
      <c r="C9" s="56">
        <v>5.5</v>
      </c>
      <c r="D9" s="28">
        <v>6</v>
      </c>
      <c r="E9" s="28">
        <v>5.8</v>
      </c>
      <c r="F9" s="28">
        <v>6.2</v>
      </c>
      <c r="G9" s="28">
        <v>4.8</v>
      </c>
      <c r="H9" s="57">
        <f>C9*$C$2+D9*$D$2+E9*$E$2+F9*$F$2+G9*$G$2</f>
      </c>
      <c r="I9" s="58">
        <v>2200</v>
      </c>
      <c r="J9" s="59">
        <v>0.06</v>
      </c>
      <c r="K9" s="57">
        <v>5.29</v>
      </c>
      <c r="L9" s="60" t="s">
        <v>114</v>
      </c>
    </row>
    <row r="11" spans="1:12" x14ac:dyDescent="0.25">
      <c r="A11" s="61" t="s">
        <v>115</v>
      </c>
      <c r="B11" s="61" t="s">
        <v>64</v>
      </c>
      <c r="C11" s="61" t="s">
        <v>116</v>
      </c>
      <c r="D11" s="61" t="s">
        <v>116</v>
      </c>
      <c r="E11" s="61" t="s">
        <v>116</v>
      </c>
      <c r="F11" s="61" t="s">
        <v>116</v>
      </c>
      <c r="G11" s="61" t="s">
        <v>116</v>
      </c>
      <c r="H11" s="61" t="s">
        <v>116</v>
      </c>
      <c r="I11" s="61" t="s">
        <v>116</v>
      </c>
      <c r="J11" s="61" t="s">
        <v>116</v>
      </c>
      <c r="K11" s="61" t="s">
        <v>116</v>
      </c>
      <c r="L11" s="61" t="s">
        <v>64</v>
      </c>
    </row>
    <row r="12" spans="1:12" x14ac:dyDescent="0.25">
      <c r="A12" s="62" t="s">
        <v>64</v>
      </c>
      <c r="B12" s="62" t="s">
        <v>117</v>
      </c>
      <c r="C12" s="62" t="s">
        <v>118</v>
      </c>
      <c r="D12" s="62" t="s">
        <v>119</v>
      </c>
      <c r="E12" s="62" t="s">
        <v>120</v>
      </c>
      <c r="F12" s="62" t="s">
        <v>121</v>
      </c>
      <c r="G12" s="62" t="s">
        <v>122</v>
      </c>
      <c r="H12" s="63" t="s">
        <v>123</v>
      </c>
      <c r="I12" s="64" t="s">
        <v>124</v>
      </c>
      <c r="J12" s="65" t="s">
        <v>125</v>
      </c>
      <c r="K12" s="63" t="s">
        <v>126</v>
      </c>
      <c r="L12" s="62" t="s">
        <v>64</v>
      </c>
    </row>
    <row r="13" spans="1:12" x14ac:dyDescent="0.25">
      <c r="A13" s="66" t="s">
        <v>64</v>
      </c>
      <c r="B13" s="66" t="s">
        <v>127</v>
      </c>
      <c r="C13" s="66" t="s">
        <v>128</v>
      </c>
      <c r="D13" s="66" t="s">
        <v>129</v>
      </c>
      <c r="E13" s="66" t="s">
        <v>130</v>
      </c>
      <c r="F13" s="66" t="s">
        <v>131</v>
      </c>
      <c r="G13" s="66" t="s">
        <v>132</v>
      </c>
      <c r="H13" s="67" t="s">
        <v>133</v>
      </c>
      <c r="I13" s="68" t="s">
        <v>134</v>
      </c>
      <c r="J13" s="69" t="s">
        <v>135</v>
      </c>
      <c r="K13" s="67" t="s">
        <v>136</v>
      </c>
      <c r="L13" s="66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FormatPr defaultRowHeight="15" outlineLevelRow="0" outlineLevelCol="0" x14ac:dyDescent="55"/>
  <cols>
    <col min="1" max="1" width="24" customWidth="1"/>
    <col min="2" max="2" width="13" customWidth="1"/>
    <col min="3" max="3" width="10" customWidth="1"/>
    <col min="4" max="13" width="11" customWidth="1"/>
    <col min="14" max="14" width="12" customWidth="1"/>
  </cols>
  <sheetData>
    <row r="1" ht="26" customHeight="1" spans="1:15" x14ac:dyDescent="0.25">
      <c r="A1" s="70" t="s">
        <v>137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</row>
    <row r="2" spans="1:15" x14ac:dyDescent="0.25">
      <c r="A2" s="71" t="s">
        <v>138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</row>
    <row r="3" ht="22" customHeight="1" spans="1:14" x14ac:dyDescent="0.25">
      <c r="A3" s="6" t="s">
        <v>86</v>
      </c>
      <c r="B3" s="6" t="s">
        <v>139</v>
      </c>
      <c r="C3" s="6" t="s">
        <v>140</v>
      </c>
      <c r="D3" s="6" t="s">
        <v>141</v>
      </c>
      <c r="E3" s="6" t="s">
        <v>142</v>
      </c>
      <c r="F3" s="6" t="s">
        <v>143</v>
      </c>
      <c r="G3" s="6" t="s">
        <v>144</v>
      </c>
      <c r="H3" s="6" t="s">
        <v>145</v>
      </c>
      <c r="I3" s="6" t="s">
        <v>146</v>
      </c>
      <c r="J3" s="6" t="s">
        <v>147</v>
      </c>
      <c r="K3" s="6" t="s">
        <v>148</v>
      </c>
      <c r="L3" s="6" t="s">
        <v>149</v>
      </c>
      <c r="M3" s="6" t="s">
        <v>150</v>
      </c>
      <c r="N3" s="6" t="s">
        <v>151</v>
      </c>
    </row>
    <row r="4" ht="18" customHeight="1" spans="1:14" x14ac:dyDescent="0.25">
      <c r="A4" s="72" t="s">
        <v>98</v>
      </c>
      <c r="B4" s="73">
        <v>1990</v>
      </c>
      <c r="C4" s="74">
        <v>0.204</v>
      </c>
      <c r="D4" s="75">
        <f>B4</f>
      </c>
      <c r="E4" s="75">
        <f>$B4*(1+$C4)^1</f>
      </c>
      <c r="F4" s="75">
        <f>$B4*(1+$C4)^2</f>
      </c>
      <c r="G4" s="75">
        <f>$B4*(1+$C4)^3</f>
      </c>
      <c r="H4" s="75">
        <f>$B4*(1+$C4)^4</f>
      </c>
      <c r="I4" s="75">
        <f>$B4*(1+$C4)^5</f>
      </c>
      <c r="J4" s="75">
        <f>$B4*(1+$C4)^6</f>
      </c>
      <c r="K4" s="75">
        <f>$B4*(1+$C4)^7</f>
      </c>
      <c r="L4" s="75">
        <f>$B4*(1+$C4)^8</f>
      </c>
      <c r="M4" s="75">
        <f>$B4*(1+$C4)^9</f>
      </c>
      <c r="N4" s="76">
        <f>(M4/D4)^(1/9)-1</f>
      </c>
    </row>
    <row r="5" ht="18" customHeight="1" spans="1:14" x14ac:dyDescent="0.25">
      <c r="A5" s="77" t="s">
        <v>101</v>
      </c>
      <c r="B5" s="78">
        <v>380</v>
      </c>
      <c r="C5" s="79">
        <v>0.18</v>
      </c>
      <c r="D5" s="80">
        <f>B5</f>
      </c>
      <c r="E5" s="80">
        <f>$B5*(1+$C5)^1</f>
      </c>
      <c r="F5" s="80">
        <f>$B5*(1+$C5)^2</f>
      </c>
      <c r="G5" s="80">
        <f>$B5*(1+$C5)^3</f>
      </c>
      <c r="H5" s="80">
        <f>$B5*(1+$C5)^4</f>
      </c>
      <c r="I5" s="80">
        <f>$B5*(1+$C5)^5</f>
      </c>
      <c r="J5" s="80">
        <f>$B5*(1+$C5)^6</f>
      </c>
      <c r="K5" s="80">
        <f>$B5*(1+$C5)^7</f>
      </c>
      <c r="L5" s="80">
        <f>$B5*(1+$C5)^8</f>
      </c>
      <c r="M5" s="80">
        <f>$B5*(1+$C5)^9</f>
      </c>
      <c r="N5" s="81">
        <f>(M5/D5)^(1/9)-1</f>
      </c>
    </row>
    <row r="6" ht="18" customHeight="1" spans="1:14" x14ac:dyDescent="0.25">
      <c r="A6" s="82" t="s">
        <v>104</v>
      </c>
      <c r="B6" s="83">
        <v>342</v>
      </c>
      <c r="C6" s="84">
        <v>0.085</v>
      </c>
      <c r="D6" s="85">
        <f>B6</f>
      </c>
      <c r="E6" s="85">
        <f>$B6*(1+$C6)^1</f>
      </c>
      <c r="F6" s="85">
        <f>$B6*(1+$C6)^2</f>
      </c>
      <c r="G6" s="85">
        <f>$B6*(1+$C6)^3</f>
      </c>
      <c r="H6" s="85">
        <f>$B6*(1+$C6)^4</f>
      </c>
      <c r="I6" s="85">
        <f>$B6*(1+$C6)^5</f>
      </c>
      <c r="J6" s="85">
        <f>$B6*(1+$C6)^6</f>
      </c>
      <c r="K6" s="85">
        <f>$B6*(1+$C6)^7</f>
      </c>
      <c r="L6" s="85">
        <f>$B6*(1+$C6)^8</f>
      </c>
      <c r="M6" s="85">
        <f>$B6*(1+$C6)^9</f>
      </c>
      <c r="N6" s="86">
        <f>(M6/D6)^(1/9)-1</f>
      </c>
    </row>
    <row r="7" ht="18" customHeight="1" spans="1:14" x14ac:dyDescent="0.25">
      <c r="A7" s="11" t="s">
        <v>107</v>
      </c>
      <c r="B7" s="87">
        <v>3430</v>
      </c>
      <c r="C7" s="88">
        <v>0.079</v>
      </c>
      <c r="D7" s="89">
        <f>B7</f>
      </c>
      <c r="E7" s="89">
        <f>$B7*(1+$C7)^1</f>
      </c>
      <c r="F7" s="89">
        <f>$B7*(1+$C7)^2</f>
      </c>
      <c r="G7" s="89">
        <f>$B7*(1+$C7)^3</f>
      </c>
      <c r="H7" s="89">
        <f>$B7*(1+$C7)^4</f>
      </c>
      <c r="I7" s="89">
        <f>$B7*(1+$C7)^5</f>
      </c>
      <c r="J7" s="89">
        <f>$B7*(1+$C7)^6</f>
      </c>
      <c r="K7" s="89">
        <f>$B7*(1+$C7)^7</f>
      </c>
      <c r="L7" s="89">
        <f>$B7*(1+$C7)^8</f>
      </c>
      <c r="M7" s="89">
        <f>$B7*(1+$C7)^9</f>
      </c>
      <c r="N7" s="90">
        <f>(M7/D7)^(1/9)-1</f>
      </c>
    </row>
    <row r="8" ht="18" customHeight="1" spans="1:14" x14ac:dyDescent="0.25">
      <c r="A8" s="82" t="s">
        <v>110</v>
      </c>
      <c r="B8" s="83">
        <v>290</v>
      </c>
      <c r="C8" s="84">
        <v>0.065</v>
      </c>
      <c r="D8" s="85">
        <f>B8</f>
      </c>
      <c r="E8" s="85">
        <f>$B8*(1+$C8)^1</f>
      </c>
      <c r="F8" s="85">
        <f>$B8*(1+$C8)^2</f>
      </c>
      <c r="G8" s="85">
        <f>$B8*(1+$C8)^3</f>
      </c>
      <c r="H8" s="85">
        <f>$B8*(1+$C8)^4</f>
      </c>
      <c r="I8" s="85">
        <f>$B8*(1+$C8)^5</f>
      </c>
      <c r="J8" s="85">
        <f>$B8*(1+$C8)^6</f>
      </c>
      <c r="K8" s="85">
        <f>$B8*(1+$C8)^7</f>
      </c>
      <c r="L8" s="85">
        <f>$B8*(1+$C8)^8</f>
      </c>
      <c r="M8" s="85">
        <f>$B8*(1+$C8)^9</f>
      </c>
      <c r="N8" s="86">
        <f>(M8/D8)^(1/9)-1</f>
      </c>
    </row>
    <row r="9" ht="18" customHeight="1" spans="1:14" x14ac:dyDescent="0.25">
      <c r="A9" s="11" t="s">
        <v>113</v>
      </c>
      <c r="B9" s="87">
        <v>215</v>
      </c>
      <c r="C9" s="88">
        <v>0.06</v>
      </c>
      <c r="D9" s="89">
        <f>B9</f>
      </c>
      <c r="E9" s="89">
        <f>$B9*(1+$C9)^1</f>
      </c>
      <c r="F9" s="89">
        <f>$B9*(1+$C9)^2</f>
      </c>
      <c r="G9" s="89">
        <f>$B9*(1+$C9)^3</f>
      </c>
      <c r="H9" s="89">
        <f>$B9*(1+$C9)^4</f>
      </c>
      <c r="I9" s="89">
        <f>$B9*(1+$C9)^5</f>
      </c>
      <c r="J9" s="89">
        <f>$B9*(1+$C9)^6</f>
      </c>
      <c r="K9" s="89">
        <f>$B9*(1+$C9)^7</f>
      </c>
      <c r="L9" s="89">
        <f>$B9*(1+$C9)^8</f>
      </c>
      <c r="M9" s="89">
        <f>$B9*(1+$C9)^9</f>
      </c>
      <c r="N9" s="90">
        <f>(M9/D9)^(1/9)-1</f>
      </c>
    </row>
    <row r="10" spans="1:14" x14ac:dyDescent="0.25">
      <c r="A10" s="91" t="s">
        <v>152</v>
      </c>
      <c r="B10" s="92">
        <f>SUM(B4:B9)</f>
      </c>
      <c r="C10" s="6" t="s">
        <v>64</v>
      </c>
      <c r="D10" s="92">
        <f>SUM(D4:D9)</f>
      </c>
      <c r="E10" s="92">
        <f>SUM(E4:E9)</f>
      </c>
      <c r="F10" s="92">
        <f>SUM(F4:F9)</f>
      </c>
      <c r="G10" s="92">
        <f>SUM(G4:G9)</f>
      </c>
      <c r="H10" s="92">
        <f>SUM(H4:H9)</f>
      </c>
      <c r="I10" s="92">
        <f>SUM(I4:I9)</f>
      </c>
      <c r="J10" s="92">
        <f>SUM(J4:J9)</f>
      </c>
      <c r="K10" s="92">
        <f>SUM(K4:K9)</f>
      </c>
      <c r="L10" s="92">
        <f>SUM(L4:L9)</f>
      </c>
      <c r="M10" s="92">
        <f>SUM(M4:M9)</f>
      </c>
      <c r="N10" s="6" t="s">
        <v>64</v>
      </c>
    </row>
    <row r="12" spans="1:15" x14ac:dyDescent="0.25">
      <c r="A12" s="25" t="s">
        <v>153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</row>
    <row r="13" spans="1:14" x14ac:dyDescent="0.25">
      <c r="A13" s="9" t="s">
        <v>154</v>
      </c>
      <c r="B13" s="9" t="s">
        <v>155</v>
      </c>
      <c r="C13" s="9" t="s">
        <v>156</v>
      </c>
      <c r="D13" s="9" t="s">
        <v>141</v>
      </c>
      <c r="E13" s="9" t="s">
        <v>142</v>
      </c>
      <c r="F13" s="9" t="s">
        <v>143</v>
      </c>
      <c r="G13" s="9" t="s">
        <v>144</v>
      </c>
      <c r="H13" s="9" t="s">
        <v>145</v>
      </c>
      <c r="I13" s="9" t="s">
        <v>146</v>
      </c>
      <c r="J13" s="9" t="s">
        <v>147</v>
      </c>
      <c r="K13" s="9" t="s">
        <v>148</v>
      </c>
      <c r="L13" s="9" t="s">
        <v>149</v>
      </c>
      <c r="M13" s="9" t="s">
        <v>150</v>
      </c>
      <c r="N13" s="9" t="s">
        <v>39</v>
      </c>
    </row>
    <row r="14" spans="1:14" x14ac:dyDescent="0.25">
      <c r="A14" s="49" t="s">
        <v>157</v>
      </c>
      <c r="B14" s="93">
        <v>0.03</v>
      </c>
      <c r="C14" s="27" t="s">
        <v>64</v>
      </c>
      <c r="D14" s="51">
        <f>D4*0.03</f>
      </c>
      <c r="E14" s="51">
        <f>E4*0.03</f>
      </c>
      <c r="F14" s="51">
        <f>F4*0.03</f>
      </c>
      <c r="G14" s="51">
        <f>G4*0.03</f>
      </c>
      <c r="H14" s="51">
        <f>H4*0.03</f>
      </c>
      <c r="I14" s="51">
        <f>I4*0.03</f>
      </c>
      <c r="J14" s="51">
        <f>J4*0.03</f>
      </c>
      <c r="K14" s="51">
        <f>K4*0.03</f>
      </c>
      <c r="L14" s="51">
        <f>L4*0.03</f>
      </c>
      <c r="M14" s="51">
        <f>M4*0.03</f>
      </c>
      <c r="N14" s="27" t="s">
        <v>158</v>
      </c>
    </row>
    <row r="15" spans="1:14" x14ac:dyDescent="0.25">
      <c r="A15" s="94" t="s">
        <v>159</v>
      </c>
      <c r="B15" s="95">
        <v>0.06</v>
      </c>
      <c r="C15" s="96" t="s">
        <v>64</v>
      </c>
      <c r="D15" s="97">
        <f>D4*0.06</f>
      </c>
      <c r="E15" s="97">
        <f>E4*0.06</f>
      </c>
      <c r="F15" s="97">
        <f>F4*0.06</f>
      </c>
      <c r="G15" s="97">
        <f>G4*0.06</f>
      </c>
      <c r="H15" s="97">
        <f>H4*0.06</f>
      </c>
      <c r="I15" s="97">
        <f>I4*0.06</f>
      </c>
      <c r="J15" s="97">
        <f>J4*0.06</f>
      </c>
      <c r="K15" s="97">
        <f>K4*0.06</f>
      </c>
      <c r="L15" s="97">
        <f>L4*0.06</f>
      </c>
      <c r="M15" s="97">
        <f>M4*0.06</f>
      </c>
      <c r="N15" s="96" t="s">
        <v>158</v>
      </c>
    </row>
    <row r="16" spans="1:14" x14ac:dyDescent="0.25">
      <c r="A16" s="49" t="s">
        <v>160</v>
      </c>
      <c r="B16" s="93">
        <v>0.1</v>
      </c>
      <c r="C16" s="27" t="s">
        <v>64</v>
      </c>
      <c r="D16" s="51">
        <f>D4*0.1</f>
      </c>
      <c r="E16" s="51">
        <f>E4*0.1</f>
      </c>
      <c r="F16" s="51">
        <f>F4*0.1</f>
      </c>
      <c r="G16" s="51">
        <f>G4*0.1</f>
      </c>
      <c r="H16" s="51">
        <f>H4*0.1</f>
      </c>
      <c r="I16" s="51">
        <f>I4*0.1</f>
      </c>
      <c r="J16" s="51">
        <f>J4*0.1</f>
      </c>
      <c r="K16" s="51">
        <f>K4*0.1</f>
      </c>
      <c r="L16" s="51">
        <f>L4*0.1</f>
      </c>
      <c r="M16" s="51">
        <f>M4*0.1</f>
      </c>
      <c r="N16" s="27" t="s">
        <v>158</v>
      </c>
    </row>
  </sheetData>
  <mergeCells count="3">
    <mergeCell ref="A1:O1"/>
    <mergeCell ref="A2:O2"/>
    <mergeCell ref="A12:O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9"/>
  <sheetFormatPr defaultRowHeight="15" outlineLevelRow="0" outlineLevelCol="0" x14ac:dyDescent="55"/>
  <cols>
    <col min="1" max="1" width="26" customWidth="1"/>
    <col min="2" max="2" width="10" customWidth="1"/>
    <col min="3" max="5" width="14" customWidth="1"/>
    <col min="6" max="6" width="36" customWidth="1"/>
  </cols>
  <sheetData>
    <row r="1" ht="28" customHeight="1" spans="1:6" x14ac:dyDescent="0.25">
      <c r="A1" s="98" t="s">
        <v>161</v>
      </c>
      <c r="B1" s="98"/>
      <c r="C1" s="98"/>
      <c r="D1" s="98"/>
      <c r="E1" s="98"/>
      <c r="F1" s="98"/>
    </row>
    <row r="3" spans="1:6" x14ac:dyDescent="0.25">
      <c r="A3" s="99" t="s">
        <v>162</v>
      </c>
      <c r="B3" s="99"/>
      <c r="C3" s="99"/>
      <c r="D3" s="99"/>
      <c r="E3" s="99"/>
      <c r="F3" s="99"/>
    </row>
    <row r="4" spans="1:6" x14ac:dyDescent="0.25">
      <c r="A4" s="6" t="s">
        <v>154</v>
      </c>
      <c r="B4" s="6" t="s">
        <v>163</v>
      </c>
      <c r="C4" s="6" t="s">
        <v>164</v>
      </c>
      <c r="D4" s="6" t="s">
        <v>165</v>
      </c>
      <c r="E4" s="6" t="s">
        <v>166</v>
      </c>
      <c r="F4" s="6" t="s">
        <v>39</v>
      </c>
    </row>
    <row r="5" ht="18" customHeight="1" spans="1:6" x14ac:dyDescent="0.25">
      <c r="A5" s="100" t="s">
        <v>167</v>
      </c>
      <c r="B5" s="101" t="s">
        <v>168</v>
      </c>
      <c r="C5" s="102">
        <v>18</v>
      </c>
      <c r="D5" s="102">
        <v>18</v>
      </c>
      <c r="E5" s="102">
        <v>18</v>
      </c>
      <c r="F5" s="101" t="s">
        <v>169</v>
      </c>
    </row>
    <row r="6" ht="18" customHeight="1" spans="1:6" x14ac:dyDescent="0.25">
      <c r="A6" s="100" t="s">
        <v>170</v>
      </c>
      <c r="B6" s="101" t="s">
        <v>171</v>
      </c>
      <c r="C6" s="102">
        <v>1.8</v>
      </c>
      <c r="D6" s="102">
        <v>1.5</v>
      </c>
      <c r="E6" s="102">
        <v>1.2</v>
      </c>
      <c r="F6" s="101" t="s">
        <v>172</v>
      </c>
    </row>
    <row r="7" ht="18" customHeight="1" spans="1:6" x14ac:dyDescent="0.25">
      <c r="A7" s="100" t="s">
        <v>173</v>
      </c>
      <c r="B7" s="101" t="s">
        <v>174</v>
      </c>
      <c r="C7" s="103">
        <v>25</v>
      </c>
      <c r="D7" s="103">
        <v>35</v>
      </c>
      <c r="E7" s="103">
        <v>50</v>
      </c>
      <c r="F7" s="101" t="s">
        <v>175</v>
      </c>
    </row>
    <row r="8" ht="18" customHeight="1" spans="1:6" x14ac:dyDescent="0.25">
      <c r="A8" s="100" t="s">
        <v>176</v>
      </c>
      <c r="B8" s="101" t="s">
        <v>174</v>
      </c>
      <c r="C8" s="103">
        <v>15</v>
      </c>
      <c r="D8" s="103">
        <v>22</v>
      </c>
      <c r="E8" s="103">
        <v>35</v>
      </c>
      <c r="F8" s="101" t="s">
        <v>177</v>
      </c>
    </row>
    <row r="9" ht="18" customHeight="1" spans="1:6" x14ac:dyDescent="0.25">
      <c r="A9" s="100" t="s">
        <v>178</v>
      </c>
      <c r="B9" s="101" t="s">
        <v>168</v>
      </c>
      <c r="C9" s="102">
        <v>8</v>
      </c>
      <c r="D9" s="102">
        <v>12</v>
      </c>
      <c r="E9" s="102">
        <v>18</v>
      </c>
      <c r="F9" s="101" t="s">
        <v>179</v>
      </c>
    </row>
    <row r="10" ht="18" customHeight="1" spans="1:6" x14ac:dyDescent="0.25">
      <c r="A10" s="100" t="s">
        <v>180</v>
      </c>
      <c r="B10" s="101" t="s">
        <v>174</v>
      </c>
      <c r="C10" s="103">
        <v>12</v>
      </c>
      <c r="D10" s="103">
        <v>10</v>
      </c>
      <c r="E10" s="103">
        <v>8</v>
      </c>
      <c r="F10" s="101" t="s">
        <v>181</v>
      </c>
    </row>
    <row r="11" ht="18" customHeight="1" spans="1:6" x14ac:dyDescent="0.25">
      <c r="A11" s="100" t="s">
        <v>182</v>
      </c>
      <c r="B11" s="101" t="s">
        <v>174</v>
      </c>
      <c r="C11" s="103">
        <v>25</v>
      </c>
      <c r="D11" s="103">
        <v>22</v>
      </c>
      <c r="E11" s="103">
        <v>20</v>
      </c>
      <c r="F11" s="101" t="s">
        <v>183</v>
      </c>
    </row>
    <row r="12" ht="18" customHeight="1" spans="1:6" x14ac:dyDescent="0.25">
      <c r="A12" s="100" t="s">
        <v>184</v>
      </c>
      <c r="B12" s="101" t="s">
        <v>168</v>
      </c>
      <c r="C12" s="102">
        <v>30</v>
      </c>
      <c r="D12" s="102">
        <v>45</v>
      </c>
      <c r="E12" s="102">
        <v>60</v>
      </c>
      <c r="F12" s="101" t="s">
        <v>185</v>
      </c>
    </row>
    <row r="14" spans="1:6" x14ac:dyDescent="0.25">
      <c r="A14" s="104" t="s">
        <v>186</v>
      </c>
      <c r="B14" s="104"/>
      <c r="C14" s="104"/>
      <c r="D14" s="104"/>
      <c r="E14" s="104"/>
      <c r="F14" s="104"/>
    </row>
    <row r="15" spans="1:6" x14ac:dyDescent="0.25">
      <c r="A15" s="9" t="s">
        <v>187</v>
      </c>
      <c r="B15" s="9" t="s">
        <v>188</v>
      </c>
      <c r="C15" s="9" t="s">
        <v>189</v>
      </c>
      <c r="D15" s="9" t="s">
        <v>190</v>
      </c>
      <c r="E15" s="9" t="s">
        <v>191</v>
      </c>
      <c r="F15" s="9" t="s">
        <v>39</v>
      </c>
    </row>
    <row r="46" ht="17" customHeight="1" spans="1:6" x14ac:dyDescent="0.25">
      <c r="A46" s="48">
        <v>2026</v>
      </c>
      <c r="B46" s="105" t="s">
        <v>164</v>
      </c>
      <c r="C46" s="106">
        <f>C9</f>
      </c>
      <c r="D46" s="27" t="s">
        <v>64</v>
      </c>
      <c r="E46" s="52" t="s">
        <v>192</v>
      </c>
      <c r="F46" s="27" t="s">
        <v>64</v>
      </c>
    </row>
    <row r="47" ht="17" customHeight="1" spans="1:6" x14ac:dyDescent="0.25">
      <c r="A47" s="7">
        <v>2027</v>
      </c>
      <c r="B47" s="105" t="s">
        <v>164</v>
      </c>
      <c r="C47" s="106">
        <f>C16*(1+C7/100)</f>
      </c>
      <c r="D47" s="27" t="s">
        <v>64</v>
      </c>
      <c r="E47" s="52">
        <f>C17/C16-1</f>
      </c>
      <c r="F47" s="27" t="s">
        <v>64</v>
      </c>
    </row>
    <row r="48" ht="17" customHeight="1" spans="1:6" x14ac:dyDescent="0.25">
      <c r="A48" s="7">
        <v>2028</v>
      </c>
      <c r="B48" s="105" t="s">
        <v>164</v>
      </c>
      <c r="C48" s="106">
        <f>C17*(1+C7/100)</f>
      </c>
      <c r="D48" s="27" t="s">
        <v>64</v>
      </c>
      <c r="E48" s="52">
        <f>C18/C17-1</f>
      </c>
      <c r="F48" s="27" t="s">
        <v>64</v>
      </c>
    </row>
    <row r="49" ht="17" customHeight="1" spans="1:6" x14ac:dyDescent="0.25">
      <c r="A49" s="7">
        <v>2029</v>
      </c>
      <c r="B49" s="105" t="s">
        <v>164</v>
      </c>
      <c r="C49" s="106">
        <f>C18*(1+C7/100)</f>
      </c>
      <c r="D49" s="27" t="s">
        <v>64</v>
      </c>
      <c r="E49" s="52">
        <f>C19/C18-1</f>
      </c>
      <c r="F49" s="27" t="s">
        <v>64</v>
      </c>
    </row>
    <row r="50" ht="17" customHeight="1" spans="1:6" x14ac:dyDescent="0.25">
      <c r="A50" s="7">
        <v>2030</v>
      </c>
      <c r="B50" s="105" t="s">
        <v>164</v>
      </c>
      <c r="C50" s="106">
        <f>C19*(1+C7/100)</f>
      </c>
      <c r="D50" s="27" t="s">
        <v>64</v>
      </c>
      <c r="E50" s="52">
        <f>C20/C19-1</f>
      </c>
      <c r="F50" s="27" t="s">
        <v>64</v>
      </c>
    </row>
    <row r="51" ht="17" customHeight="1" spans="1:6" x14ac:dyDescent="0.25">
      <c r="A51" s="7">
        <v>2031</v>
      </c>
      <c r="B51" s="105" t="s">
        <v>164</v>
      </c>
      <c r="C51" s="106">
        <f>C20*(1+C8/100)</f>
      </c>
      <c r="D51" s="27" t="s">
        <v>64</v>
      </c>
      <c r="E51" s="52">
        <f>C21/C20-1</f>
      </c>
      <c r="F51" s="27" t="s">
        <v>64</v>
      </c>
    </row>
    <row r="52" ht="17" customHeight="1" spans="1:6" x14ac:dyDescent="0.25">
      <c r="A52" s="7">
        <v>2032</v>
      </c>
      <c r="B52" s="105" t="s">
        <v>164</v>
      </c>
      <c r="C52" s="106">
        <f>C21*(1+C8/100)</f>
      </c>
      <c r="D52" s="27" t="s">
        <v>64</v>
      </c>
      <c r="E52" s="52">
        <f>C22/C21-1</f>
      </c>
      <c r="F52" s="27" t="s">
        <v>64</v>
      </c>
    </row>
    <row r="53" ht="17" customHeight="1" spans="1:6" x14ac:dyDescent="0.25">
      <c r="A53" s="7">
        <v>2033</v>
      </c>
      <c r="B53" s="105" t="s">
        <v>164</v>
      </c>
      <c r="C53" s="106">
        <f>C22*(1+C8/100)</f>
      </c>
      <c r="D53" s="27" t="s">
        <v>64</v>
      </c>
      <c r="E53" s="52">
        <f>C23/C22-1</f>
      </c>
      <c r="F53" s="27" t="s">
        <v>64</v>
      </c>
    </row>
    <row r="54" ht="17" customHeight="1" spans="1:6" x14ac:dyDescent="0.25">
      <c r="A54" s="7">
        <v>2034</v>
      </c>
      <c r="B54" s="105" t="s">
        <v>164</v>
      </c>
      <c r="C54" s="106">
        <f>C23*(1+C8/100)</f>
      </c>
      <c r="D54" s="27" t="s">
        <v>64</v>
      </c>
      <c r="E54" s="52">
        <f>C24/C23-1</f>
      </c>
      <c r="F54" s="27" t="s">
        <v>64</v>
      </c>
    </row>
    <row r="55" ht="17" customHeight="1" spans="1:6" x14ac:dyDescent="0.25">
      <c r="A55" s="7">
        <v>2035</v>
      </c>
      <c r="B55" s="105" t="s">
        <v>164</v>
      </c>
      <c r="C55" s="107">
        <f>C24*(1+C8/100)</f>
      </c>
      <c r="D55" s="27" t="s">
        <v>64</v>
      </c>
      <c r="E55" s="52">
        <f>C25/C24-1</f>
      </c>
      <c r="F55" s="27" t="s">
        <v>64</v>
      </c>
    </row>
    <row r="57" ht="17" customHeight="1" spans="1:6" x14ac:dyDescent="0.25">
      <c r="A57" s="108">
        <v>2026</v>
      </c>
      <c r="B57" s="109" t="s">
        <v>165</v>
      </c>
      <c r="C57" s="110">
        <f>D9</f>
      </c>
      <c r="D57" s="96" t="s">
        <v>64</v>
      </c>
      <c r="E57" s="111" t="s">
        <v>192</v>
      </c>
      <c r="F57" s="96" t="s">
        <v>64</v>
      </c>
    </row>
    <row r="58" ht="17" customHeight="1" spans="1:6" x14ac:dyDescent="0.25">
      <c r="A58" s="112">
        <v>2027</v>
      </c>
      <c r="B58" s="109" t="s">
        <v>165</v>
      </c>
      <c r="C58" s="110">
        <f>D26*(1+D7/100)</f>
      </c>
      <c r="D58" s="96" t="s">
        <v>64</v>
      </c>
      <c r="E58" s="111">
        <f>C27/C26-1</f>
      </c>
      <c r="F58" s="96" t="s">
        <v>64</v>
      </c>
    </row>
    <row r="59" ht="17" customHeight="1" spans="1:6" x14ac:dyDescent="0.25">
      <c r="A59" s="112">
        <v>2028</v>
      </c>
      <c r="B59" s="109" t="s">
        <v>165</v>
      </c>
      <c r="C59" s="110">
        <f>D27*(1+D7/100)</f>
      </c>
      <c r="D59" s="96" t="s">
        <v>64</v>
      </c>
      <c r="E59" s="111">
        <f>C28/C27-1</f>
      </c>
      <c r="F59" s="96" t="s">
        <v>64</v>
      </c>
    </row>
    <row r="60" ht="17" customHeight="1" spans="1:6" x14ac:dyDescent="0.25">
      <c r="A60" s="112">
        <v>2029</v>
      </c>
      <c r="B60" s="109" t="s">
        <v>165</v>
      </c>
      <c r="C60" s="110">
        <f>D28*(1+D7/100)</f>
      </c>
      <c r="D60" s="96" t="s">
        <v>64</v>
      </c>
      <c r="E60" s="111">
        <f>C29/C28-1</f>
      </c>
      <c r="F60" s="96" t="s">
        <v>64</v>
      </c>
    </row>
    <row r="61" ht="17" customHeight="1" spans="1:6" x14ac:dyDescent="0.25">
      <c r="A61" s="112">
        <v>2030</v>
      </c>
      <c r="B61" s="109" t="s">
        <v>165</v>
      </c>
      <c r="C61" s="110">
        <f>D29*(1+D7/100)</f>
      </c>
      <c r="D61" s="96" t="s">
        <v>64</v>
      </c>
      <c r="E61" s="111">
        <f>C30/C29-1</f>
      </c>
      <c r="F61" s="96" t="s">
        <v>64</v>
      </c>
    </row>
    <row r="62" ht="17" customHeight="1" spans="1:6" x14ac:dyDescent="0.25">
      <c r="A62" s="112">
        <v>2031</v>
      </c>
      <c r="B62" s="109" t="s">
        <v>165</v>
      </c>
      <c r="C62" s="110">
        <f>D30*(1+D8/100)</f>
      </c>
      <c r="D62" s="96" t="s">
        <v>64</v>
      </c>
      <c r="E62" s="111">
        <f>C31/C30-1</f>
      </c>
      <c r="F62" s="96" t="s">
        <v>64</v>
      </c>
    </row>
    <row r="63" ht="17" customHeight="1" spans="1:6" x14ac:dyDescent="0.25">
      <c r="A63" s="112">
        <v>2032</v>
      </c>
      <c r="B63" s="109" t="s">
        <v>165</v>
      </c>
      <c r="C63" s="110">
        <f>D31*(1+D8/100)</f>
      </c>
      <c r="D63" s="96" t="s">
        <v>64</v>
      </c>
      <c r="E63" s="111">
        <f>C32/C31-1</f>
      </c>
      <c r="F63" s="96" t="s">
        <v>64</v>
      </c>
    </row>
    <row r="64" ht="17" customHeight="1" spans="1:6" x14ac:dyDescent="0.25">
      <c r="A64" s="112">
        <v>2033</v>
      </c>
      <c r="B64" s="109" t="s">
        <v>165</v>
      </c>
      <c r="C64" s="110">
        <f>D32*(1+D8/100)</f>
      </c>
      <c r="D64" s="96" t="s">
        <v>64</v>
      </c>
      <c r="E64" s="111">
        <f>C33/C32-1</f>
      </c>
      <c r="F64" s="96" t="s">
        <v>64</v>
      </c>
    </row>
    <row r="65" ht="17" customHeight="1" spans="1:6" x14ac:dyDescent="0.25">
      <c r="A65" s="112">
        <v>2034</v>
      </c>
      <c r="B65" s="109" t="s">
        <v>165</v>
      </c>
      <c r="C65" s="110">
        <f>D33*(1+D8/100)</f>
      </c>
      <c r="D65" s="96" t="s">
        <v>64</v>
      </c>
      <c r="E65" s="111">
        <f>C34/C33-1</f>
      </c>
      <c r="F65" s="96" t="s">
        <v>64</v>
      </c>
    </row>
    <row r="66" ht="17" customHeight="1" spans="1:6" x14ac:dyDescent="0.25">
      <c r="A66" s="112">
        <v>2035</v>
      </c>
      <c r="B66" s="109" t="s">
        <v>165</v>
      </c>
      <c r="C66" s="113">
        <f>D34*(1+D8/100)</f>
      </c>
      <c r="D66" s="96" t="s">
        <v>64</v>
      </c>
      <c r="E66" s="111">
        <f>C35/C34-1</f>
      </c>
      <c r="F66" s="96" t="s">
        <v>64</v>
      </c>
    </row>
    <row r="68" ht="17" customHeight="1" spans="1:6" x14ac:dyDescent="0.25">
      <c r="A68" s="114">
        <v>2026</v>
      </c>
      <c r="B68" s="115" t="s">
        <v>166</v>
      </c>
      <c r="C68" s="116">
        <f>E9</f>
      </c>
      <c r="D68" s="35" t="s">
        <v>64</v>
      </c>
      <c r="E68" s="38" t="s">
        <v>192</v>
      </c>
      <c r="F68" s="35" t="s">
        <v>64</v>
      </c>
    </row>
    <row r="69" ht="17" customHeight="1" spans="1:6" x14ac:dyDescent="0.25">
      <c r="A69" s="34">
        <v>2027</v>
      </c>
      <c r="B69" s="115" t="s">
        <v>166</v>
      </c>
      <c r="C69" s="116">
        <f>E36*(1+E7/100)</f>
      </c>
      <c r="D69" s="35" t="s">
        <v>64</v>
      </c>
      <c r="E69" s="38">
        <f>C37/C36-1</f>
      </c>
      <c r="F69" s="35" t="s">
        <v>64</v>
      </c>
    </row>
    <row r="70" ht="17" customHeight="1" spans="1:6" x14ac:dyDescent="0.25">
      <c r="A70" s="34">
        <v>2028</v>
      </c>
      <c r="B70" s="115" t="s">
        <v>166</v>
      </c>
      <c r="C70" s="116">
        <f>E37*(1+E7/100)</f>
      </c>
      <c r="D70" s="35" t="s">
        <v>64</v>
      </c>
      <c r="E70" s="38">
        <f>C38/C37-1</f>
      </c>
      <c r="F70" s="35" t="s">
        <v>64</v>
      </c>
    </row>
    <row r="71" ht="17" customHeight="1" spans="1:6" x14ac:dyDescent="0.25">
      <c r="A71" s="34">
        <v>2029</v>
      </c>
      <c r="B71" s="115" t="s">
        <v>166</v>
      </c>
      <c r="C71" s="116">
        <f>E38*(1+E7/100)</f>
      </c>
      <c r="D71" s="35" t="s">
        <v>64</v>
      </c>
      <c r="E71" s="38">
        <f>C39/C38-1</f>
      </c>
      <c r="F71" s="35" t="s">
        <v>64</v>
      </c>
    </row>
    <row r="72" ht="17" customHeight="1" spans="1:6" x14ac:dyDescent="0.25">
      <c r="A72" s="34">
        <v>2030</v>
      </c>
      <c r="B72" s="115" t="s">
        <v>166</v>
      </c>
      <c r="C72" s="116">
        <f>E39*(1+E7/100)</f>
      </c>
      <c r="D72" s="35" t="s">
        <v>64</v>
      </c>
      <c r="E72" s="38">
        <f>C40/C39-1</f>
      </c>
      <c r="F72" s="35" t="s">
        <v>64</v>
      </c>
    </row>
    <row r="73" ht="17" customHeight="1" spans="1:6" x14ac:dyDescent="0.25">
      <c r="A73" s="34">
        <v>2031</v>
      </c>
      <c r="B73" s="115" t="s">
        <v>166</v>
      </c>
      <c r="C73" s="116">
        <f>E40*(1+E8/100)</f>
      </c>
      <c r="D73" s="35" t="s">
        <v>64</v>
      </c>
      <c r="E73" s="38">
        <f>C41/C40-1</f>
      </c>
      <c r="F73" s="35" t="s">
        <v>64</v>
      </c>
    </row>
    <row r="74" ht="17" customHeight="1" spans="1:6" x14ac:dyDescent="0.25">
      <c r="A74" s="34">
        <v>2032</v>
      </c>
      <c r="B74" s="115" t="s">
        <v>166</v>
      </c>
      <c r="C74" s="116">
        <f>E41*(1+E8/100)</f>
      </c>
      <c r="D74" s="35" t="s">
        <v>64</v>
      </c>
      <c r="E74" s="38">
        <f>C42/C41-1</f>
      </c>
      <c r="F74" s="35" t="s">
        <v>64</v>
      </c>
    </row>
    <row r="75" ht="17" customHeight="1" spans="1:6" x14ac:dyDescent="0.25">
      <c r="A75" s="34">
        <v>2033</v>
      </c>
      <c r="B75" s="115" t="s">
        <v>166</v>
      </c>
      <c r="C75" s="116">
        <f>E42*(1+E8/100)</f>
      </c>
      <c r="D75" s="35" t="s">
        <v>64</v>
      </c>
      <c r="E75" s="38">
        <f>C43/C42-1</f>
      </c>
      <c r="F75" s="35" t="s">
        <v>64</v>
      </c>
    </row>
    <row r="76" ht="17" customHeight="1" spans="1:6" x14ac:dyDescent="0.25">
      <c r="A76" s="34">
        <v>2034</v>
      </c>
      <c r="B76" s="115" t="s">
        <v>166</v>
      </c>
      <c r="C76" s="116">
        <f>E43*(1+E8/100)</f>
      </c>
      <c r="D76" s="35" t="s">
        <v>64</v>
      </c>
      <c r="E76" s="38">
        <f>C44/C43-1</f>
      </c>
      <c r="F76" s="35" t="s">
        <v>64</v>
      </c>
    </row>
    <row r="77" ht="17" customHeight="1" spans="1:6" x14ac:dyDescent="0.25">
      <c r="A77" s="34">
        <v>2035</v>
      </c>
      <c r="B77" s="115" t="s">
        <v>166</v>
      </c>
      <c r="C77" s="117">
        <f>E44*(1+E8/100)</f>
      </c>
      <c r="D77" s="35" t="s">
        <v>64</v>
      </c>
      <c r="E77" s="38">
        <f>C45/C44-1</f>
      </c>
      <c r="F77" s="35" t="s">
        <v>64</v>
      </c>
    </row>
    <row r="80" spans="1:6" x14ac:dyDescent="0.25">
      <c r="A80" s="118" t="s">
        <v>193</v>
      </c>
      <c r="B80" s="118"/>
      <c r="C80" s="118"/>
      <c r="D80" s="118"/>
      <c r="E80" s="118"/>
      <c r="F80" s="118"/>
    </row>
    <row r="81" spans="1:6" x14ac:dyDescent="0.25">
      <c r="A81" s="6" t="s">
        <v>194</v>
      </c>
      <c r="B81" s="6" t="s">
        <v>163</v>
      </c>
      <c r="C81" s="6" t="s">
        <v>164</v>
      </c>
      <c r="D81" s="6" t="s">
        <v>165</v>
      </c>
      <c r="E81" s="6" t="s">
        <v>166</v>
      </c>
      <c r="F81" s="6" t="s">
        <v>68</v>
      </c>
    </row>
    <row r="82" ht="19" customHeight="1" spans="1:6" x14ac:dyDescent="0.25">
      <c r="A82" s="119" t="s">
        <v>195</v>
      </c>
      <c r="B82" s="101" t="s">
        <v>168</v>
      </c>
      <c r="C82" s="120" t="s">
        <v>196</v>
      </c>
      <c r="D82" s="120" t="s">
        <v>197</v>
      </c>
      <c r="E82" s="120" t="s">
        <v>198</v>
      </c>
      <c r="F82" s="101" t="s">
        <v>199</v>
      </c>
    </row>
    <row r="83" ht="19" customHeight="1" spans="1:6" x14ac:dyDescent="0.25">
      <c r="A83" s="119" t="s">
        <v>200</v>
      </c>
      <c r="B83" s="101" t="s">
        <v>168</v>
      </c>
      <c r="C83" s="121" t="s">
        <v>201</v>
      </c>
      <c r="D83" s="121" t="s">
        <v>202</v>
      </c>
      <c r="E83" s="121" t="s">
        <v>203</v>
      </c>
      <c r="F83" s="101" t="s">
        <v>204</v>
      </c>
    </row>
    <row r="84" ht="19" customHeight="1" spans="1:6" x14ac:dyDescent="0.25">
      <c r="A84" s="119" t="s">
        <v>205</v>
      </c>
      <c r="B84" s="101" t="s">
        <v>171</v>
      </c>
      <c r="C84" s="120" t="s">
        <v>206</v>
      </c>
      <c r="D84" s="120" t="s">
        <v>207</v>
      </c>
      <c r="E84" s="120" t="s">
        <v>208</v>
      </c>
      <c r="F84" s="101" t="s">
        <v>204</v>
      </c>
    </row>
    <row r="85" ht="19" customHeight="1" spans="1:6" x14ac:dyDescent="0.25">
      <c r="A85" s="119" t="s">
        <v>180</v>
      </c>
      <c r="B85" s="101" t="s">
        <v>174</v>
      </c>
      <c r="C85" s="122" t="s">
        <v>209</v>
      </c>
      <c r="D85" s="122" t="s">
        <v>210</v>
      </c>
      <c r="E85" s="122" t="s">
        <v>211</v>
      </c>
      <c r="F85" s="101" t="s">
        <v>204</v>
      </c>
    </row>
    <row r="86" ht="19" customHeight="1" spans="1:6" x14ac:dyDescent="0.25">
      <c r="A86" s="119" t="s">
        <v>212</v>
      </c>
      <c r="B86" s="101" t="s">
        <v>174</v>
      </c>
      <c r="C86" s="123">
        <v>0.364</v>
      </c>
      <c r="D86" s="123">
        <v>0.424</v>
      </c>
      <c r="E86" s="123">
        <v>0.52</v>
      </c>
      <c r="F86" s="101" t="s">
        <v>213</v>
      </c>
    </row>
    <row r="87" ht="19" customHeight="1" spans="1:6" x14ac:dyDescent="0.25">
      <c r="A87" s="119" t="s">
        <v>214</v>
      </c>
      <c r="B87" s="101" t="s">
        <v>215</v>
      </c>
      <c r="C87" s="124">
        <v>5</v>
      </c>
      <c r="D87" s="124">
        <v>4</v>
      </c>
      <c r="E87" s="124">
        <v>3</v>
      </c>
      <c r="F87" s="101" t="s">
        <v>216</v>
      </c>
    </row>
    <row r="88" ht="19" customHeight="1" spans="1:6" x14ac:dyDescent="0.25">
      <c r="A88" s="119" t="s">
        <v>217</v>
      </c>
      <c r="B88" s="101" t="s">
        <v>168</v>
      </c>
      <c r="C88" s="120">
        <v>52.3</v>
      </c>
      <c r="D88" s="120">
        <v>81.7</v>
      </c>
      <c r="E88" s="120">
        <v>145.2</v>
      </c>
      <c r="F88" s="101" t="s">
        <v>218</v>
      </c>
    </row>
    <row r="89" ht="19" customHeight="1" spans="1:6" x14ac:dyDescent="0.25">
      <c r="A89" s="119" t="s">
        <v>219</v>
      </c>
      <c r="B89" s="101" t="s">
        <v>168</v>
      </c>
      <c r="C89" s="121" t="s">
        <v>220</v>
      </c>
      <c r="D89" s="121" t="s">
        <v>221</v>
      </c>
      <c r="E89" s="121" t="s">
        <v>222</v>
      </c>
      <c r="F89" s="101" t="s">
        <v>223</v>
      </c>
    </row>
  </sheetData>
  <mergeCells count="4">
    <mergeCell ref="A1:F1"/>
    <mergeCell ref="A3:F3"/>
    <mergeCell ref="A14:F14"/>
    <mergeCell ref="A80:F8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FormatPr defaultRowHeight="15" outlineLevelRow="0" outlineLevelCol="0" x14ac:dyDescent="55"/>
  <cols>
    <col min="1" max="1" width="24" customWidth="1"/>
    <col min="2" max="4" width="16" customWidth="1"/>
    <col min="5" max="5" width="24" customWidth="1"/>
  </cols>
  <sheetData>
    <row r="1" ht="32" customHeight="1" spans="1:5" x14ac:dyDescent="0.25">
      <c r="A1" s="125" t="s">
        <v>224</v>
      </c>
      <c r="B1" s="125"/>
      <c r="C1" s="125"/>
      <c r="D1" s="125"/>
      <c r="E1" s="125"/>
    </row>
    <row r="2" spans="1:5" x14ac:dyDescent="0.25">
      <c r="A2" s="126" t="s">
        <v>225</v>
      </c>
      <c r="B2" s="126"/>
      <c r="C2" s="126"/>
      <c r="D2" s="126"/>
      <c r="E2" s="126"/>
    </row>
    <row r="4" spans="1:5" x14ac:dyDescent="0.25">
      <c r="A4" s="127" t="s">
        <v>226</v>
      </c>
      <c r="B4" s="127"/>
      <c r="C4" s="127"/>
      <c r="D4" s="127"/>
      <c r="E4" s="127"/>
    </row>
    <row r="5" ht="22" customHeight="1" spans="1:5" x14ac:dyDescent="0.25">
      <c r="A5" s="128" t="s">
        <v>227</v>
      </c>
      <c r="B5" s="129" t="s">
        <v>228</v>
      </c>
      <c r="C5" s="130" t="s">
        <v>229</v>
      </c>
      <c r="D5" s="131" t="s">
        <v>64</v>
      </c>
      <c r="E5" s="131" t="s">
        <v>64</v>
      </c>
    </row>
    <row r="6" ht="22" customHeight="1" spans="1:5" x14ac:dyDescent="0.25">
      <c r="A6" s="132" t="s">
        <v>230</v>
      </c>
      <c r="B6" s="133" t="s">
        <v>231</v>
      </c>
      <c r="C6" s="134" t="s">
        <v>232</v>
      </c>
      <c r="D6" s="21" t="s">
        <v>64</v>
      </c>
      <c r="E6" s="21" t="s">
        <v>64</v>
      </c>
    </row>
    <row r="7" ht="22" customHeight="1" spans="1:5" x14ac:dyDescent="0.25">
      <c r="A7" s="128" t="s">
        <v>233</v>
      </c>
      <c r="B7" s="129" t="s">
        <v>234</v>
      </c>
      <c r="C7" s="130" t="s">
        <v>235</v>
      </c>
      <c r="D7" s="131" t="s">
        <v>64</v>
      </c>
      <c r="E7" s="131" t="s">
        <v>64</v>
      </c>
    </row>
    <row r="8" ht="22" customHeight="1" spans="1:5" x14ac:dyDescent="0.25">
      <c r="A8" s="132" t="s">
        <v>167</v>
      </c>
      <c r="B8" s="133" t="s">
        <v>236</v>
      </c>
      <c r="C8" s="134" t="s">
        <v>237</v>
      </c>
      <c r="D8" s="21" t="s">
        <v>64</v>
      </c>
      <c r="E8" s="21" t="s">
        <v>64</v>
      </c>
    </row>
    <row r="9" ht="22" customHeight="1" spans="1:5" x14ac:dyDescent="0.25">
      <c r="A9" s="128" t="s">
        <v>195</v>
      </c>
      <c r="B9" s="129" t="s">
        <v>238</v>
      </c>
      <c r="C9" s="130" t="s">
        <v>232</v>
      </c>
      <c r="D9" s="131" t="s">
        <v>64</v>
      </c>
      <c r="E9" s="131" t="s">
        <v>64</v>
      </c>
    </row>
    <row r="11" spans="1:5" x14ac:dyDescent="0.25">
      <c r="A11" s="118" t="s">
        <v>239</v>
      </c>
      <c r="B11" s="118"/>
      <c r="C11" s="118"/>
      <c r="D11" s="118"/>
      <c r="E11" s="118"/>
    </row>
    <row r="12" spans="1:5" x14ac:dyDescent="0.25">
      <c r="A12" s="6" t="s">
        <v>85</v>
      </c>
      <c r="B12" s="6" t="s">
        <v>86</v>
      </c>
      <c r="C12" s="6" t="s">
        <v>95</v>
      </c>
      <c r="D12" s="6" t="s">
        <v>240</v>
      </c>
      <c r="E12" s="6" t="s">
        <v>156</v>
      </c>
    </row>
    <row r="13" ht="20" customHeight="1" spans="1:5" x14ac:dyDescent="0.25">
      <c r="A13" s="32" t="s">
        <v>97</v>
      </c>
      <c r="B13" s="35">
        <f>우선순위매트릭스!B4</f>
      </c>
      <c r="C13" s="135">
        <f>우선순위매트릭스!K4</f>
      </c>
      <c r="D13" s="37">
        <f>우선순위매트릭스!I4</f>
      </c>
      <c r="E13" s="38">
        <f>우선순위매트릭스!J4</f>
      </c>
    </row>
    <row r="14" ht="20" customHeight="1" spans="1:5" x14ac:dyDescent="0.25">
      <c r="A14" s="40" t="s">
        <v>100</v>
      </c>
      <c r="B14" s="43">
        <f>우선순위매트릭스!B5</f>
      </c>
      <c r="C14" s="136">
        <f>우선순위매트릭스!K5</f>
      </c>
      <c r="D14" s="45">
        <f>우선순위매트릭스!I5</f>
      </c>
      <c r="E14" s="46">
        <f>우선순위매트릭스!J5</f>
      </c>
    </row>
    <row r="15" ht="20" customHeight="1" spans="1:5" x14ac:dyDescent="0.25">
      <c r="A15" s="137" t="s">
        <v>103</v>
      </c>
      <c r="B15" s="27">
        <f>우선순위매트릭스!B6</f>
      </c>
      <c r="C15" s="138">
        <f>우선순위매트릭스!K6</f>
      </c>
      <c r="D15" s="51">
        <f>우선순위매트릭스!I6</f>
      </c>
      <c r="E15" s="52">
        <f>우선순위매트릭스!J6</f>
      </c>
    </row>
    <row r="16" ht="20" customHeight="1" spans="1:5" x14ac:dyDescent="0.25">
      <c r="A16" s="139" t="s">
        <v>106</v>
      </c>
      <c r="B16" s="28">
        <f>우선순위매트릭스!B7</f>
      </c>
      <c r="C16" s="140">
        <f>우선순위매트릭스!K7</f>
      </c>
      <c r="D16" s="58">
        <f>우선순위매트릭스!I7</f>
      </c>
      <c r="E16" s="59">
        <f>우선순위매트릭스!J7</f>
      </c>
    </row>
    <row r="17" ht="20" customHeight="1" spans="1:5" x14ac:dyDescent="0.25">
      <c r="A17" s="137" t="s">
        <v>109</v>
      </c>
      <c r="B17" s="27">
        <f>우선순위매트릭스!B8</f>
      </c>
      <c r="C17" s="138">
        <f>우선순위매트릭스!K8</f>
      </c>
      <c r="D17" s="51">
        <f>우선순위매트릭스!I8</f>
      </c>
      <c r="E17" s="52">
        <f>우선순위매트릭스!J8</f>
      </c>
    </row>
    <row r="18" ht="20" customHeight="1" spans="1:5" x14ac:dyDescent="0.25">
      <c r="A18" s="139" t="s">
        <v>112</v>
      </c>
      <c r="B18" s="28">
        <f>우선순위매트릭스!B9</f>
      </c>
      <c r="C18" s="140">
        <f>우선순위매트릭스!K9</f>
      </c>
      <c r="D18" s="58">
        <f>우선순위매트릭스!I9</f>
      </c>
      <c r="E18" s="59">
        <f>우선순위매트릭스!J9</f>
      </c>
    </row>
    <row r="20" spans="1:5" x14ac:dyDescent="0.25">
      <c r="A20" s="118" t="s">
        <v>241</v>
      </c>
      <c r="B20" s="118"/>
      <c r="C20" s="118"/>
      <c r="D20" s="118"/>
      <c r="E20" s="118"/>
    </row>
    <row r="21" spans="1:5" x14ac:dyDescent="0.25">
      <c r="A21" s="9" t="s">
        <v>86</v>
      </c>
      <c r="B21" s="9" t="s">
        <v>242</v>
      </c>
      <c r="C21" s="9" t="s">
        <v>243</v>
      </c>
      <c r="D21" s="9" t="s">
        <v>244</v>
      </c>
      <c r="E21" s="9" t="s">
        <v>156</v>
      </c>
    </row>
    <row r="22" ht="18" customHeight="1" spans="1:5" x14ac:dyDescent="0.25">
      <c r="A22" s="39">
        <f>시장성장모델!A4</f>
      </c>
      <c r="B22" s="37">
        <f>시장성장모델!D4</f>
      </c>
      <c r="C22" s="37">
        <f>시장성장모델!H4</f>
      </c>
      <c r="D22" s="37">
        <f>시장성장모델!M4</f>
      </c>
      <c r="E22" s="38">
        <f>시장성장모델!C4</f>
      </c>
    </row>
    <row r="23" ht="18" customHeight="1" spans="1:5" x14ac:dyDescent="0.25">
      <c r="A23" s="47">
        <f>시장성장모델!A5</f>
      </c>
      <c r="B23" s="45">
        <f>시장성장모델!D5</f>
      </c>
      <c r="C23" s="45">
        <f>시장성장모델!H5</f>
      </c>
      <c r="D23" s="45">
        <f>시장성장모델!M5</f>
      </c>
      <c r="E23" s="46">
        <f>시장성장모델!C5</f>
      </c>
    </row>
    <row r="24" ht="18" customHeight="1" spans="1:5" x14ac:dyDescent="0.25">
      <c r="A24" s="53">
        <f>시장성장모델!A6</f>
      </c>
      <c r="B24" s="51">
        <f>시장성장모델!D6</f>
      </c>
      <c r="C24" s="51">
        <f>시장성장모델!H6</f>
      </c>
      <c r="D24" s="51">
        <f>시장성장모델!M6</f>
      </c>
      <c r="E24" s="52">
        <f>시장성장모델!C6</f>
      </c>
    </row>
    <row r="25" ht="18" customHeight="1" spans="1:5" x14ac:dyDescent="0.25">
      <c r="A25" s="60">
        <f>시장성장모델!A7</f>
      </c>
      <c r="B25" s="58">
        <f>시장성장모델!D7</f>
      </c>
      <c r="C25" s="58">
        <f>시장성장모델!H7</f>
      </c>
      <c r="D25" s="58">
        <f>시장성장모델!M7</f>
      </c>
      <c r="E25" s="59">
        <f>시장성장모델!C7</f>
      </c>
    </row>
    <row r="26" ht="18" customHeight="1" spans="1:5" x14ac:dyDescent="0.25">
      <c r="A26" s="53">
        <f>시장성장모델!A8</f>
      </c>
      <c r="B26" s="51">
        <f>시장성장모델!D8</f>
      </c>
      <c r="C26" s="51">
        <f>시장성장모델!H8</f>
      </c>
      <c r="D26" s="51">
        <f>시장성장모델!M8</f>
      </c>
      <c r="E26" s="52">
        <f>시장성장모델!C8</f>
      </c>
    </row>
    <row r="27" ht="18" customHeight="1" spans="1:5" x14ac:dyDescent="0.25">
      <c r="A27" s="60">
        <f>시장성장모델!A9</f>
      </c>
      <c r="B27" s="58">
        <f>시장성장모델!D9</f>
      </c>
      <c r="C27" s="58">
        <f>시장성장모델!H9</f>
      </c>
      <c r="D27" s="58">
        <f>시장성장모델!M9</f>
      </c>
      <c r="E27" s="59">
        <f>시장성장모델!C9</f>
      </c>
    </row>
  </sheetData>
  <mergeCells count="5">
    <mergeCell ref="A1:E1"/>
    <mergeCell ref="A2:E2"/>
    <mergeCell ref="A4:E4"/>
    <mergeCell ref="A11:E11"/>
    <mergeCell ref="A20:E2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표지</vt:lpstr>
      <vt:lpstr>평가기준</vt:lpstr>
      <vt:lpstr>우선순위매트릭스</vt:lpstr>
      <vt:lpstr>시장성장모델</vt:lpstr>
      <vt:lpstr>B★KPI시나리오</vt:lpstr>
      <vt:lpstr>요약대시보드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B★ Project Team</dc:creator>
  <dc:title/>
  <dc:subject/>
  <dc:description/>
  <cp:keywords/>
  <cp:category/>
  <cp:lastModifiedBy>Unknown</cp:lastModifiedBy>
  <dcterms:created xsi:type="dcterms:W3CDTF">2026-03-15T00:00:00Z</dcterms:created>
  <dcterms:modified xsi:type="dcterms:W3CDTF">2026-03-15T00:00:00Z</dcterms:modified>
</cp:coreProperties>
</file>