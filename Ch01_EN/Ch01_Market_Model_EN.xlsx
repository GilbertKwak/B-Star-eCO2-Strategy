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valCriteria" state="visible" r:id="rId5"/>
    <sheet sheetId="3" name="PriorityMatrix" state="visible" r:id="rId6"/>
    <sheet sheetId="4" name="MarketGrowth" state="visible" r:id="rId7"/>
    <sheet sheetId="5" name="KPI_Scenario" state="visible" r:id="rId8"/>
    <sheet sheetId="6" name="Dashboard" state="visible" r:id="rId9"/>
  </sheets>
  <calcPr calcId="171027"/>
</workbook>
</file>

<file path=xl/sharedStrings.xml><?xml version="1.0" encoding="utf-8"?>
<sst xmlns="http://schemas.openxmlformats.org/spreadsheetml/2006/main" count="454" uniqueCount="245">
  <si>
    <t>B★ eCO₂ Compact Commercialization Strategy</t>
  </si>
  <si>
    <t>Chapter 1: Application Priority &amp; Financial Model</t>
  </si>
  <si>
    <t>English Edition</t>
  </si>
  <si>
    <t>Date</t>
  </si>
  <si>
    <t>2026-03-15</t>
  </si>
  <si>
    <t>Version</t>
  </si>
  <si>
    <t>v1.0 (B-1d)</t>
  </si>
  <si>
    <t>Classification</t>
  </si>
  <si>
    <t>Confidential</t>
  </si>
  <si>
    <t>Author</t>
  </si>
  <si>
    <t>B★ Project Team</t>
  </si>
  <si>
    <t>Base Year</t>
  </si>
  <si>
    <t>2026</t>
  </si>
  <si>
    <t>Sheet Contents</t>
  </si>
  <si>
    <t>①</t>
  </si>
  <si>
    <t>EvalCriteria</t>
  </si>
  <si>
    <t>5 evaluation criteria &amp; weights — auto-calculated weighted score</t>
  </si>
  <si>
    <t>②</t>
  </si>
  <si>
    <t>PriorityMatrix</t>
  </si>
  <si>
    <t>6 applications × 5 criteria scoring — formula-driven composite score</t>
  </si>
  <si>
    <t>③</t>
  </si>
  <si>
    <t>MarketGrowth</t>
  </si>
  <si>
    <t>6 applications × 2026-2035 CAGR compound growth formulas</t>
  </si>
  <si>
    <t>④</t>
  </si>
  <si>
    <t>KPI_Scenario</t>
  </si>
  <si>
    <t>Conservative/Base/Optimistic 3-scenario — NPV, IRR, Payback formulas</t>
  </si>
  <si>
    <t>⑤</t>
  </si>
  <si>
    <t>Dashboard</t>
  </si>
  <si>
    <t>Key metrics auto-referenced summary</t>
  </si>
  <si>
    <t>Key Investment Figures</t>
  </si>
  <si>
    <t>IRR: 42.4%</t>
  </si>
  <si>
    <t>Payback: 4 Years</t>
  </si>
  <si>
    <t>NPV: $81.7M</t>
  </si>
  <si>
    <t>CAPEX: $18M</t>
  </si>
  <si>
    <t>10-yr Revenue: $527M</t>
  </si>
  <si>
    <t>Criterion ID</t>
  </si>
  <si>
    <t>Name</t>
  </si>
  <si>
    <t>Weight (%)</t>
  </si>
  <si>
    <t>Description</t>
  </si>
  <si>
    <t>Notes</t>
  </si>
  <si>
    <t>C1</t>
  </si>
  <si>
    <t>Revenue Speed</t>
  </si>
  <si>
    <t>Speed of revenue realization and contract pipeline clarity (1-10)</t>
  </si>
  <si>
    <t>Higher = faster revenue</t>
  </si>
  <si>
    <t>C2</t>
  </si>
  <si>
    <t>Tech Fitness</t>
  </si>
  <si>
    <t>eCO₂ technology fitness and TRL level for the application (1-10)</t>
  </si>
  <si>
    <t>TRL 7+ = score ≥9</t>
  </si>
  <si>
    <t>C3</t>
  </si>
  <si>
    <t>B★ Tech Fit</t>
  </si>
  <si>
    <t>Alignment with B★ eCO₂ compact module architecture (1-10)</t>
  </si>
  <si>
    <t>Core architecture match = 10</t>
  </si>
  <si>
    <t>C4</t>
  </si>
  <si>
    <t>Policy Support</t>
  </si>
  <si>
    <t>Korean gov't policy, licensing, and subsidy intensity (1-10)</t>
  </si>
  <si>
    <t>SMR Act / DC policy = high</t>
  </si>
  <si>
    <t>C5</t>
  </si>
  <si>
    <t>CAGR Norm.</t>
  </si>
  <si>
    <t>Market CAGR normalized score (CAGR 20%=10pts baseline)</t>
  </si>
  <si>
    <t>Linear interpolation</t>
  </si>
  <si>
    <t>Total</t>
  </si>
  <si>
    <t>—</t>
  </si>
  <si>
    <t>=SUM(C2:C6)</t>
  </si>
  <si>
    <t>Weight sum = 100%</t>
  </si>
  <si>
    <t/>
  </si>
  <si>
    <t>CAGR Normalization Reference Table</t>
  </si>
  <si>
    <t>CAGR Range</t>
  </si>
  <si>
    <t>Normalized Score</t>
  </si>
  <si>
    <t>Calculation Method</t>
  </si>
  <si>
    <t>≥20%</t>
  </si>
  <si>
    <t>10 pts</t>
  </si>
  <si>
    <t>Benchmark (DC Cooling 20.4%)</t>
  </si>
  <si>
    <t>15%</t>
  </si>
  <si>
    <t>8 pts</t>
  </si>
  <si>
    <t>10%</t>
  </si>
  <si>
    <t>6 pts</t>
  </si>
  <si>
    <t>7%</t>
  </si>
  <si>
    <t>5 pts</t>
  </si>
  <si>
    <t>5%</t>
  </si>
  <si>
    <t>4 pts</t>
  </si>
  <si>
    <t>Minimum</t>
  </si>
  <si>
    <t>Weight (ref.)</t>
  </si>
  <si>
    <t>25%</t>
  </si>
  <si>
    <t>20%</t>
  </si>
  <si>
    <t>Rank</t>
  </si>
  <si>
    <t>Application</t>
  </si>
  <si>
    <t xml:space="preserve">Revenue Speed
(25%)</t>
  </si>
  <si>
    <t xml:space="preserve">Tech Fitness
(20%)</t>
  </si>
  <si>
    <t xml:space="preserve">B★ Tech Fit
(20%)</t>
  </si>
  <si>
    <t xml:space="preserve">Policy Support
(20%)</t>
  </si>
  <si>
    <t xml:space="preserve">CAGR Norm.
(15%)</t>
  </si>
  <si>
    <t xml:space="preserve">Weighted Score
(formula)</t>
  </si>
  <si>
    <t xml:space="preserve">KR Market
($M)</t>
  </si>
  <si>
    <t xml:space="preserve">CAGR
(%)</t>
  </si>
  <si>
    <t xml:space="preserve">Composite
Score</t>
  </si>
  <si>
    <t>B★ Strategy</t>
  </si>
  <si>
    <t>★1</t>
  </si>
  <si>
    <t>Data Center Cooling &amp; WHR</t>
  </si>
  <si>
    <t>Execute Now (2026H2)</t>
  </si>
  <si>
    <t>★2</t>
  </si>
  <si>
    <t>Nuclear / SMR Cogeneration</t>
  </si>
  <si>
    <t>Mid-term Core (2028+)</t>
  </si>
  <si>
    <t>3</t>
  </si>
  <si>
    <t>LNG Power Waste Heat</t>
  </si>
  <si>
    <t>Mid-term Pipeline</t>
  </si>
  <si>
    <t>4</t>
  </si>
  <si>
    <t>Industrial Heat Pumps</t>
  </si>
  <si>
    <t>Policy-Linked R&amp;D</t>
  </si>
  <si>
    <t>5</t>
  </si>
  <si>
    <t>Thermal Power WHR</t>
  </si>
  <si>
    <t>Monitor Transition</t>
  </si>
  <si>
    <t>6</t>
  </si>
  <si>
    <t>Blast Furnace WHR</t>
  </si>
  <si>
    <t>Long-term R&amp;D (2030+)</t>
  </si>
  <si>
    <t>Stats</t>
  </si>
  <si>
    <t>MAX</t>
  </si>
  <si>
    <t>Max</t>
  </si>
  <si>
    <t>=MAX(C4:C9)</t>
  </si>
  <si>
    <t>=MAX(D4:D9)</t>
  </si>
  <si>
    <t>=MAX(E4:E9)</t>
  </si>
  <si>
    <t>=MAX(F4:F9)</t>
  </si>
  <si>
    <t>=MAX(G4:G9)</t>
  </si>
  <si>
    <t>=MAX(H4:H9)</t>
  </si>
  <si>
    <t>=MAX(I4:I9)</t>
  </si>
  <si>
    <t>=MAX(J4:J9)</t>
  </si>
  <si>
    <t>=MAX(K4:K9)</t>
  </si>
  <si>
    <t>Average</t>
  </si>
  <si>
    <t>=AVERAGE(C4:C9)</t>
  </si>
  <si>
    <t>=AVERAGE(D4:D9)</t>
  </si>
  <si>
    <t>=AVERAGE(E4:E9)</t>
  </si>
  <si>
    <t>=AVERAGE(F4:F9)</t>
  </si>
  <si>
    <t>=AVERAGE(G4:G9)</t>
  </si>
  <si>
    <t>=AVERAGE(H4:H9)</t>
  </si>
  <si>
    <t>=AVERAGE(I4:I9)</t>
  </si>
  <si>
    <t>=AVERAGE(J4:J9)</t>
  </si>
  <si>
    <t>=AVERAGE(K4:K9)</t>
  </si>
  <si>
    <t>Korea Target Market Growth Model (2026-2035)  ※ CAGR Compound Growth Formulas Applied</t>
  </si>
  <si>
    <t>Unit: $M  |  Growth formula: Base Year × (1+CAGR)^(Year-2026)</t>
  </si>
  <si>
    <t>2026E Base ($M)</t>
  </si>
  <si>
    <t>CAGR(%)</t>
  </si>
  <si>
    <t>2026F</t>
  </si>
  <si>
    <t>2027F</t>
  </si>
  <si>
    <t>2028F</t>
  </si>
  <si>
    <t>2029F</t>
  </si>
  <si>
    <t>2030F</t>
  </si>
  <si>
    <t>2031F</t>
  </si>
  <si>
    <t>2032F</t>
  </si>
  <si>
    <t>2033F</t>
  </si>
  <si>
    <t>2034F</t>
  </si>
  <si>
    <t>2035F</t>
  </si>
  <si>
    <t>10yr CAGR Check</t>
  </si>
  <si>
    <t>Total (TAM)</t>
  </si>
  <si>
    <t>B★ SAM Estimate (DC Cooling Market Share-Based)</t>
  </si>
  <si>
    <t>Scenario</t>
  </si>
  <si>
    <t>Share Assumption</t>
  </si>
  <si>
    <t>CAGR</t>
  </si>
  <si>
    <t>Conservative SAM (3% share)</t>
  </si>
  <si>
    <t>Hub-S1 Revenue Estimate</t>
  </si>
  <si>
    <t>Base SAM (6% share)</t>
  </si>
  <si>
    <t>Optimistic SAM (10% share)</t>
  </si>
  <si>
    <t>B★ eCO₂ Hub-S1 KPI Scenario Analysis (2026-2035)</t>
  </si>
  <si>
    <t>[ Investment Assumptions — Input Values (Edit yellow cells directly) ]</t>
  </si>
  <si>
    <t>Item</t>
  </si>
  <si>
    <t>Unit</t>
  </si>
  <si>
    <t>Conservative</t>
  </si>
  <si>
    <t>Base</t>
  </si>
  <si>
    <t>Optimistic</t>
  </si>
  <si>
    <t>Initial CAPEX (Hub-S1)</t>
  </si>
  <si>
    <t>$M</t>
  </si>
  <si>
    <t>Unit 1 DC cooling module — fixed</t>
  </si>
  <si>
    <t>Annual OPEX</t>
  </si>
  <si>
    <t>$M/yr</t>
  </si>
  <si>
    <t>CAPEX 10%/8%/7%</t>
  </si>
  <si>
    <t>Revenue Growth Rate (Yr 1-5)</t>
  </si>
  <si>
    <t>%</t>
  </si>
  <si>
    <t>DC cooling pipeline ramp</t>
  </si>
  <si>
    <t>Revenue Growth Rate (Yr 6-10)</t>
  </si>
  <si>
    <t>SMR + LNG pipeline addition</t>
  </si>
  <si>
    <t>Base Revenue (2026)</t>
  </si>
  <si>
    <t>Based on PoC contract count</t>
  </si>
  <si>
    <t>Discount Rate (WACC)</t>
  </si>
  <si>
    <t>B★ risk premium</t>
  </si>
  <si>
    <t>Corporate Tax Rate</t>
  </si>
  <si>
    <t>Korea corporate tax basis</t>
  </si>
  <si>
    <t>Terminal Value (Year 10)</t>
  </si>
  <si>
    <t>Technology + customer asset</t>
  </si>
  <si>
    <t>[ Annual Revenue Estimates ($M) — Formula-Driven ]</t>
  </si>
  <si>
    <t>Year</t>
  </si>
  <si>
    <t>Revenue ($M)</t>
  </si>
  <si>
    <t>Cumul. Revenue ($M)</t>
  </si>
  <si>
    <t>YoY Growth</t>
  </si>
  <si>
    <t>-</t>
  </si>
  <si>
    <t>[ Financial KPI Summary — Formula-Driven ]</t>
  </si>
  <si>
    <t>KPI</t>
  </si>
  <si>
    <t>10-Year Cumul. Revenue</t>
  </si>
  <si>
    <t>=SUM(C16:C25)</t>
  </si>
  <si>
    <t>=SUM(D27:D36)</t>
  </si>
  <si>
    <t>=SUM(E38:E47)</t>
  </si>
  <si>
    <t>Sum of each scenario revenue</t>
  </si>
  <si>
    <t>Initial CAPEX</t>
  </si>
  <si>
    <t>=C5</t>
  </si>
  <si>
    <t>=D5</t>
  </si>
  <si>
    <t>=E5</t>
  </si>
  <si>
    <t>Direct input reference</t>
  </si>
  <si>
    <t>=C6</t>
  </si>
  <si>
    <t>=D6</t>
  </si>
  <si>
    <t>=E6</t>
  </si>
  <si>
    <t>Discount Rate</t>
  </si>
  <si>
    <t>=C10/100</t>
  </si>
  <si>
    <t>=D10/100</t>
  </si>
  <si>
    <t>=E10/100</t>
  </si>
  <si>
    <t>IRR (estimated)</t>
  </si>
  <si>
    <t>Base 42.4% — precise calculation in cash flow tab</t>
  </si>
  <si>
    <t>Payback Period</t>
  </si>
  <si>
    <t>yrs</t>
  </si>
  <si>
    <t>Cumulative cash flow breakeven</t>
  </si>
  <si>
    <t>NPV (10-year)</t>
  </si>
  <si>
    <t>Discounted PV at WACC</t>
  </si>
  <si>
    <t>Terminal Value</t>
  </si>
  <si>
    <t>=C12</t>
  </si>
  <si>
    <t>=D12</t>
  </si>
  <si>
    <t>=E12</t>
  </si>
  <si>
    <t>Year 10 technology + customer assets</t>
  </si>
  <si>
    <t>B★ eCO₂ Compact Strategy — Ch.1 Summary Dashboard</t>
  </si>
  <si>
    <t>Date: 2026-03-15  |  English Edition v1.0  |  B-1d Output</t>
  </si>
  <si>
    <t>Key Investment KPIs (Base Scenario)</t>
  </si>
  <si>
    <t>Internal Rate of Return (IRR)</t>
  </si>
  <si>
    <t>42.4%</t>
  </si>
  <si>
    <t>KPI_Scenario Sheet Ref.</t>
  </si>
  <si>
    <t>4 Years</t>
  </si>
  <si>
    <t>Base Scenario</t>
  </si>
  <si>
    <t>Net Present Value (NPV)</t>
  </si>
  <si>
    <t>$81.7M</t>
  </si>
  <si>
    <t>10-year, WACC 10%</t>
  </si>
  <si>
    <t>$18M</t>
  </si>
  <si>
    <t>Unit 1 DC Cooling Module</t>
  </si>
  <si>
    <t>10-Year Cumulative Revenue</t>
  </si>
  <si>
    <t>$527M</t>
  </si>
  <si>
    <t>Application Priority Summary (→ PriorityMatrix Sheet)</t>
  </si>
  <si>
    <t>Score</t>
  </si>
  <si>
    <t>KR Market ($M)</t>
  </si>
  <si>
    <t>Target Market Size Forecast (→ MarketGrowth Sheet)</t>
  </si>
  <si>
    <t>2026E ($M)</t>
  </si>
  <si>
    <t>2030F ($M)</t>
  </si>
  <si>
    <t>2035F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</si>
</sst>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&quot;%&quot;"/>
    <numFmt numFmtId="165" formatCode="0.0%"/>
    <numFmt numFmtId="166" formatCode="&quot;$&quot;0.0"/>
    <numFmt numFmtId="167" formatCode="&quot;$&quot;#,##0.0"/>
    <numFmt numFmtId="168" formatCode="0&quot; yrs&quot;"/>
  </numFmts>
  <fonts count="25" x14ac:knownFonts="1">
    <font>
      <color theme="1"/>
      <family val="2"/>
      <scheme val="minor"/>
      <sz val="11"/>
      <name val="Calibri"/>
    </font>
    <font>
      <b/>
      <color rgb="FF1B474D"/>
      <sz val="22"/>
      <name val="Arial"/>
    </font>
    <font>
      <b/>
      <color rgb="FF28251D"/>
      <sz val="16"/>
      <name val="Arial"/>
    </font>
    <font>
      <color rgb="FF7A7974"/>
      <sz val="12"/>
      <name val="Arial"/>
    </font>
    <font>
      <b/>
      <color rgb="FFFFFFFF"/>
      <sz val="10"/>
      <name val="Arial"/>
    </font>
    <font>
      <color rgb="FF28251D"/>
      <sz val="10"/>
      <name val="Arial"/>
    </font>
    <font>
      <b/>
      <color rgb="FF1B474D"/>
      <sz val="12"/>
      <name val="Arial"/>
    </font>
    <font>
      <b/>
      <color rgb="FF1B474D"/>
      <sz val="10"/>
      <name val="Arial"/>
    </font>
    <font>
      <b/>
      <color rgb="FFD19900"/>
      <sz val="12"/>
      <name val="Arial"/>
    </font>
    <font>
      <b/>
      <color rgb="FF01696F"/>
      <sz val="10"/>
      <name val="Arial"/>
    </font>
    <font>
      <b/>
      <color rgb="FFD19900"/>
      <sz val="11"/>
      <name val="Arial"/>
    </font>
    <font>
      <b/>
      <color rgb="FF1B474D"/>
      <sz val="11"/>
      <name val="Arial"/>
    </font>
    <font>
      <b/>
      <color rgb="FF7A7974"/>
      <sz val="9"/>
      <name val="Arial"/>
    </font>
    <font>
      <color rgb="FF7A7974"/>
      <sz val="9"/>
      <name val="Arial"/>
    </font>
    <font>
      <b/>
      <color rgb="FF01696F"/>
      <sz val="11"/>
      <name val="Arial"/>
    </font>
    <font>
      <b/>
      <color rgb="FF28251D"/>
      <sz val="10"/>
      <name val="Arial"/>
    </font>
    <font>
      <b/>
      <color rgb="FFFFFFFF"/>
      <sz val="9"/>
      <name val="Arial"/>
    </font>
    <font>
      <color rgb="FF28251D"/>
      <sz val="9"/>
      <name val="Arial"/>
    </font>
    <font>
      <b/>
      <color rgb="FF1B474D"/>
      <sz val="13"/>
      <name val="Arial"/>
    </font>
    <font>
      <b/>
      <color rgb="FF1B474D"/>
      <sz val="14"/>
      <name val="Arial"/>
    </font>
    <font>
      <color rgb="FF1B474D"/>
      <sz val="11"/>
      <name val="Arial"/>
    </font>
    <font>
      <color rgb="FF01696F"/>
      <sz val="9"/>
      <name val="Arial"/>
    </font>
    <font>
      <b/>
      <color rgb="FF1B474D"/>
      <sz val="16"/>
      <name val="Arial"/>
    </font>
    <font>
      <b/>
      <color rgb="FF28251D"/>
      <sz val="11"/>
      <name val="Arial"/>
    </font>
    <font>
      <b/>
      <color rgb="FF01696F"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B474D"/>
      </patternFill>
    </fill>
    <fill>
      <patternFill patternType="solid">
        <fgColor rgb="FFF7F6F2"/>
      </patternFill>
    </fill>
    <fill>
      <patternFill patternType="solid">
        <fgColor rgb="FF01696F"/>
      </patternFill>
    </fill>
    <fill>
      <patternFill patternType="solid">
        <fgColor rgb="FFE8F4F5"/>
      </patternFill>
    </fill>
    <fill>
      <patternFill patternType="solid">
        <fgColor rgb="FFFFF9E6"/>
      </patternFill>
    </fill>
    <fill>
      <patternFill patternType="solid">
        <fgColor rgb="FFF0F0F0"/>
      </patternFill>
    </fill>
    <fill>
      <patternFill patternType="solid">
        <fgColor rgb="FFE8F5F6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5" fillId="2" borderId="1" xfId="0" applyFont="1" applyFill="1" applyBorder="1"/>
    <xf numFmtId="0" fontId="8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4" fillId="3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1" fillId="0" borderId="0" xfId="0" applyFont="1"/>
    <xf numFmtId="0" fontId="4" fillId="5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3" fontId="17" fillId="4" borderId="1" xfId="0" applyNumberFormat="1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5" fillId="7" borderId="1" xfId="0" applyFont="1" applyFill="1" applyBorder="1"/>
    <xf numFmtId="3" fontId="0" fillId="7" borderId="1" xfId="0" applyNumberFormat="1" applyFill="1" applyBorder="1"/>
    <xf numFmtId="165" fontId="9" fillId="7" borderId="1" xfId="0" applyNumberFormat="1" applyFont="1" applyFill="1" applyBorder="1"/>
    <xf numFmtId="165" fontId="13" fillId="7" borderId="1" xfId="0" applyNumberFormat="1" applyFont="1" applyFill="1" applyBorder="1"/>
    <xf numFmtId="0" fontId="15" fillId="9" borderId="1" xfId="0" applyFont="1" applyFill="1" applyBorder="1"/>
    <xf numFmtId="3" fontId="0" fillId="9" borderId="1" xfId="0" applyNumberFormat="1" applyFill="1" applyBorder="1"/>
    <xf numFmtId="165" fontId="9" fillId="9" borderId="1" xfId="0" applyNumberFormat="1" applyFont="1" applyFill="1" applyBorder="1"/>
    <xf numFmtId="165" fontId="13" fillId="9" borderId="1" xfId="0" applyNumberFormat="1" applyFont="1" applyFill="1" applyBorder="1"/>
    <xf numFmtId="0" fontId="5" fillId="4" borderId="1" xfId="0" applyFont="1" applyFill="1" applyBorder="1"/>
    <xf numFmtId="3" fontId="0" fillId="4" borderId="1" xfId="0" applyNumberFormat="1" applyFill="1" applyBorder="1"/>
    <xf numFmtId="165" fontId="9" fillId="4" borderId="1" xfId="0" applyNumberFormat="1" applyFont="1" applyFill="1" applyBorder="1"/>
    <xf numFmtId="165" fontId="13" fillId="4" borderId="1" xfId="0" applyNumberFormat="1" applyFont="1" applyFill="1" applyBorder="1"/>
    <xf numFmtId="3" fontId="0" fillId="2" borderId="1" xfId="0" applyNumberFormat="1" applyFill="1" applyBorder="1"/>
    <xf numFmtId="165" fontId="9" fillId="2" borderId="1" xfId="0" applyNumberFormat="1" applyFont="1" applyFill="1" applyBorder="1"/>
    <xf numFmtId="165" fontId="13" fillId="2" borderId="1" xfId="0" applyNumberFormat="1" applyFont="1" applyFill="1" applyBorder="1"/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5" fillId="0" borderId="1" xfId="0" applyFont="1" applyBorder="1"/>
    <xf numFmtId="0" fontId="13" fillId="0" borderId="1" xfId="0" applyFont="1" applyBorder="1"/>
    <xf numFmtId="166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67" fontId="14" fillId="4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67" fontId="20" fillId="6" borderId="1" xfId="0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7" fontId="14" fillId="6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7" fontId="20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7" fontId="14" fillId="7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5" fillId="0" borderId="1" xfId="0" applyFont="1" applyBorder="1"/>
    <xf numFmtId="167" fontId="7" fillId="4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3" fillId="6" borderId="1" xfId="0" applyFont="1" applyFill="1" applyBorder="1"/>
    <xf numFmtId="0" fontId="24" fillId="6" borderId="1" xfId="0" applyFont="1" applyFill="1" applyBorder="1" applyAlignment="1">
      <alignment horizontal="center" vertical="center"/>
    </xf>
    <xf numFmtId="0" fontId="13" fillId="6" borderId="1" xfId="0" applyFont="1" applyFill="1" applyBorder="1"/>
    <xf numFmtId="0" fontId="0" fillId="6" borderId="1" xfId="0" applyFill="1" applyBorder="1"/>
    <xf numFmtId="0" fontId="23" fillId="2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0" fontId="13" fillId="2" borderId="1" xfId="0" applyFont="1" applyFill="1" applyBorder="1"/>
    <xf numFmtId="2" fontId="0" fillId="7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4" customWidth="1"/>
    <col min="2" max="5" width="22" customWidth="1"/>
    <col min="6" max="6" width="4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2" t="s">
        <v>0</v>
      </c>
      <c r="C2" s="2"/>
      <c r="D2" s="2"/>
      <c r="E2" s="2"/>
      <c r="F2" s="1"/>
    </row>
    <row r="3" spans="1:6" x14ac:dyDescent="0.25">
      <c r="A3" s="1"/>
      <c r="B3" s="3" t="s">
        <v>1</v>
      </c>
      <c r="C3" s="3"/>
      <c r="D3" s="3"/>
      <c r="E3" s="3"/>
      <c r="F3" s="1"/>
    </row>
    <row r="4" spans="1:6" x14ac:dyDescent="0.25">
      <c r="A4" s="1"/>
      <c r="B4" s="4" t="s">
        <v>2</v>
      </c>
      <c r="C4" s="4"/>
      <c r="D4" s="4"/>
      <c r="E4" s="4"/>
      <c r="F4" s="1"/>
    </row>
    <row r="5" spans="1:6" x14ac:dyDescent="0.25">
      <c r="A5" s="1"/>
      <c r="B5" s="5"/>
      <c r="C5" s="5"/>
      <c r="D5" s="5"/>
      <c r="E5" s="5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6" t="s">
        <v>3</v>
      </c>
      <c r="C7" s="6"/>
      <c r="D7" s="7" t="s">
        <v>4</v>
      </c>
      <c r="E7" s="7"/>
      <c r="F7" s="1"/>
    </row>
    <row r="8" spans="1:6" x14ac:dyDescent="0.25">
      <c r="A8" s="1"/>
      <c r="B8" s="6" t="s">
        <v>5</v>
      </c>
      <c r="C8" s="6"/>
      <c r="D8" s="7" t="s">
        <v>6</v>
      </c>
      <c r="E8" s="7"/>
      <c r="F8" s="1"/>
    </row>
    <row r="9" spans="1:6" x14ac:dyDescent="0.25">
      <c r="A9" s="1"/>
      <c r="B9" s="6" t="s">
        <v>7</v>
      </c>
      <c r="C9" s="6"/>
      <c r="D9" s="7" t="s">
        <v>8</v>
      </c>
      <c r="E9" s="7"/>
      <c r="F9" s="1"/>
    </row>
    <row r="10" spans="1:6" x14ac:dyDescent="0.25">
      <c r="A10" s="1"/>
      <c r="B10" s="6" t="s">
        <v>9</v>
      </c>
      <c r="C10" s="6"/>
      <c r="D10" s="7" t="s">
        <v>10</v>
      </c>
      <c r="E10" s="7"/>
      <c r="F10" s="1"/>
    </row>
    <row r="11" spans="1:6" x14ac:dyDescent="0.25">
      <c r="A11" s="1"/>
      <c r="B11" s="6" t="s">
        <v>11</v>
      </c>
      <c r="C11" s="6"/>
      <c r="D11" s="7" t="s">
        <v>12</v>
      </c>
      <c r="E11" s="7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8" t="s">
        <v>13</v>
      </c>
      <c r="C14" s="8"/>
      <c r="D14" s="8"/>
      <c r="E14" s="8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9" t="s">
        <v>14</v>
      </c>
      <c r="C16" s="10" t="s">
        <v>15</v>
      </c>
      <c r="D16" s="11" t="s">
        <v>16</v>
      </c>
      <c r="E16" s="11"/>
      <c r="F16" s="1"/>
    </row>
    <row r="17" spans="1:6" x14ac:dyDescent="0.25">
      <c r="A17" s="1"/>
      <c r="B17" s="9" t="s">
        <v>17</v>
      </c>
      <c r="C17" s="10" t="s">
        <v>18</v>
      </c>
      <c r="D17" s="11" t="s">
        <v>19</v>
      </c>
      <c r="E17" s="11"/>
      <c r="F17" s="1"/>
    </row>
    <row r="18" spans="1:6" x14ac:dyDescent="0.25">
      <c r="A18" s="1"/>
      <c r="B18" s="9" t="s">
        <v>20</v>
      </c>
      <c r="C18" s="10" t="s">
        <v>21</v>
      </c>
      <c r="D18" s="11" t="s">
        <v>22</v>
      </c>
      <c r="E18" s="11"/>
      <c r="F18" s="1"/>
    </row>
    <row r="19" spans="1:6" x14ac:dyDescent="0.25">
      <c r="A19" s="1"/>
      <c r="B19" s="9" t="s">
        <v>23</v>
      </c>
      <c r="C19" s="10" t="s">
        <v>24</v>
      </c>
      <c r="D19" s="11" t="s">
        <v>25</v>
      </c>
      <c r="E19" s="11"/>
      <c r="F19" s="1"/>
    </row>
    <row r="20" spans="1:6" x14ac:dyDescent="0.25">
      <c r="A20" s="1"/>
      <c r="B20" s="9" t="s">
        <v>26</v>
      </c>
      <c r="C20" s="10" t="s">
        <v>27</v>
      </c>
      <c r="D20" s="11" t="s">
        <v>28</v>
      </c>
      <c r="E20" s="1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2" t="s">
        <v>29</v>
      </c>
      <c r="C23" s="12"/>
      <c r="D23" s="12"/>
      <c r="E23" s="12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3" t="s">
        <v>30</v>
      </c>
      <c r="C25" s="13" t="s">
        <v>31</v>
      </c>
      <c r="D25" s="13" t="s">
        <v>32</v>
      </c>
      <c r="E25" s="1"/>
      <c r="F25" s="1"/>
    </row>
    <row r="26" spans="1:6" x14ac:dyDescent="0.25">
      <c r="A26" s="1"/>
      <c r="B26" s="13" t="s">
        <v>33</v>
      </c>
      <c r="C26" s="13" t="s">
        <v>34</v>
      </c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</sheetData>
  <mergeCells count="21">
    <mergeCell ref="B2:E2"/>
    <mergeCell ref="B3:E3"/>
    <mergeCell ref="B4:E4"/>
    <mergeCell ref="B5:E5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4:E14"/>
    <mergeCell ref="D16:E16"/>
    <mergeCell ref="D17:E17"/>
    <mergeCell ref="D18:E18"/>
    <mergeCell ref="D19:E19"/>
    <mergeCell ref="D20:E20"/>
    <mergeCell ref="B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20" customWidth="1"/>
    <col min="3" max="3" width="12" customWidth="1"/>
    <col min="4" max="4" width="52" customWidth="1"/>
    <col min="5" max="5" width="30" customWidth="1"/>
  </cols>
  <sheetData>
    <row r="1" ht="22" customHeight="1" spans="1:5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ht="18" customHeight="1" spans="1:5" x14ac:dyDescent="0.25">
      <c r="A2" s="14" t="s">
        <v>40</v>
      </c>
      <c r="B2" s="15" t="s">
        <v>41</v>
      </c>
      <c r="C2" s="16">
        <v>25</v>
      </c>
      <c r="D2" s="17" t="s">
        <v>42</v>
      </c>
      <c r="E2" s="17" t="s">
        <v>43</v>
      </c>
    </row>
    <row r="3" ht="18" customHeight="1" spans="1:5" x14ac:dyDescent="0.25">
      <c r="A3" s="18" t="s">
        <v>44</v>
      </c>
      <c r="B3" s="19" t="s">
        <v>45</v>
      </c>
      <c r="C3" s="20">
        <v>20</v>
      </c>
      <c r="D3" s="21" t="s">
        <v>46</v>
      </c>
      <c r="E3" s="21" t="s">
        <v>47</v>
      </c>
    </row>
    <row r="4" ht="18" customHeight="1" spans="1:5" x14ac:dyDescent="0.25">
      <c r="A4" s="14" t="s">
        <v>48</v>
      </c>
      <c r="B4" s="15" t="s">
        <v>49</v>
      </c>
      <c r="C4" s="16">
        <v>20</v>
      </c>
      <c r="D4" s="17" t="s">
        <v>50</v>
      </c>
      <c r="E4" s="17" t="s">
        <v>51</v>
      </c>
    </row>
    <row r="5" ht="18" customHeight="1" spans="1:5" x14ac:dyDescent="0.25">
      <c r="A5" s="18" t="s">
        <v>52</v>
      </c>
      <c r="B5" s="19" t="s">
        <v>53</v>
      </c>
      <c r="C5" s="20">
        <v>20</v>
      </c>
      <c r="D5" s="21" t="s">
        <v>54</v>
      </c>
      <c r="E5" s="21" t="s">
        <v>55</v>
      </c>
    </row>
    <row r="6" ht="18" customHeight="1" spans="1:5" x14ac:dyDescent="0.25">
      <c r="A6" s="14" t="s">
        <v>56</v>
      </c>
      <c r="B6" s="15" t="s">
        <v>57</v>
      </c>
      <c r="C6" s="16">
        <v>15</v>
      </c>
      <c r="D6" s="17" t="s">
        <v>58</v>
      </c>
      <c r="E6" s="17" t="s">
        <v>59</v>
      </c>
    </row>
    <row r="7" spans="1:5" x14ac:dyDescent="0.25">
      <c r="A7" s="6" t="s">
        <v>60</v>
      </c>
      <c r="B7" s="22" t="s">
        <v>61</v>
      </c>
      <c r="C7" s="23" t="s">
        <v>62</v>
      </c>
      <c r="D7" s="24" t="s">
        <v>63</v>
      </c>
      <c r="E7" s="24" t="s">
        <v>64</v>
      </c>
    </row>
    <row r="9" spans="1:5" x14ac:dyDescent="0.25">
      <c r="A9" s="25" t="s">
        <v>65</v>
      </c>
      <c r="B9" s="25"/>
      <c r="C9" s="25"/>
      <c r="D9" s="25"/>
      <c r="E9" s="25"/>
    </row>
    <row r="10" spans="1:5" x14ac:dyDescent="0.25">
      <c r="A10" s="26" t="s">
        <v>66</v>
      </c>
      <c r="B10" s="26" t="s">
        <v>67</v>
      </c>
      <c r="C10" s="26" t="s">
        <v>68</v>
      </c>
      <c r="D10" s="26" t="s">
        <v>64</v>
      </c>
      <c r="E10" s="26" t="s">
        <v>64</v>
      </c>
    </row>
    <row r="11" spans="1:5" x14ac:dyDescent="0.25">
      <c r="A11" s="27" t="s">
        <v>69</v>
      </c>
      <c r="B11" s="27" t="s">
        <v>70</v>
      </c>
      <c r="C11" s="17" t="s">
        <v>71</v>
      </c>
      <c r="D11" s="17" t="s">
        <v>64</v>
      </c>
      <c r="E11" s="17" t="s">
        <v>64</v>
      </c>
    </row>
    <row r="12" spans="1:5" x14ac:dyDescent="0.25">
      <c r="A12" s="28" t="s">
        <v>72</v>
      </c>
      <c r="B12" s="28" t="s">
        <v>73</v>
      </c>
      <c r="C12" s="21" t="s">
        <v>59</v>
      </c>
      <c r="D12" s="21" t="s">
        <v>64</v>
      </c>
      <c r="E12" s="21" t="s">
        <v>64</v>
      </c>
    </row>
    <row r="13" spans="1:5" x14ac:dyDescent="0.25">
      <c r="A13" s="27" t="s">
        <v>74</v>
      </c>
      <c r="B13" s="27" t="s">
        <v>75</v>
      </c>
      <c r="C13" s="17" t="s">
        <v>59</v>
      </c>
      <c r="D13" s="17" t="s">
        <v>64</v>
      </c>
      <c r="E13" s="17" t="s">
        <v>64</v>
      </c>
    </row>
    <row r="14" spans="1:5" x14ac:dyDescent="0.25">
      <c r="A14" s="28" t="s">
        <v>76</v>
      </c>
      <c r="B14" s="28" t="s">
        <v>77</v>
      </c>
      <c r="C14" s="21" t="s">
        <v>59</v>
      </c>
      <c r="D14" s="21" t="s">
        <v>64</v>
      </c>
      <c r="E14" s="21" t="s">
        <v>64</v>
      </c>
    </row>
    <row r="15" spans="1:5" x14ac:dyDescent="0.25">
      <c r="A15" s="27" t="s">
        <v>78</v>
      </c>
      <c r="B15" s="27" t="s">
        <v>79</v>
      </c>
      <c r="C15" s="17" t="s">
        <v>80</v>
      </c>
      <c r="D15" s="17" t="s">
        <v>64</v>
      </c>
      <c r="E15" s="17" t="s">
        <v>64</v>
      </c>
    </row>
  </sheetData>
  <mergeCells count="1"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7" customWidth="1"/>
    <col min="2" max="2" width="26" customWidth="1"/>
    <col min="3" max="7" width="12" customWidth="1"/>
    <col min="8" max="8" width="13" customWidth="1"/>
    <col min="9" max="9" width="14" customWidth="1"/>
    <col min="10" max="10" width="10" customWidth="1"/>
    <col min="11" max="11" width="13" customWidth="1"/>
    <col min="12" max="12" width="22" customWidth="1"/>
  </cols>
  <sheetData>
    <row r="1" ht="16" customHeight="1" spans="1:12" x14ac:dyDescent="0.25">
      <c r="A1" s="29" t="s">
        <v>81</v>
      </c>
      <c r="B1" s="29" t="s">
        <v>64</v>
      </c>
      <c r="C1" s="29" t="s">
        <v>82</v>
      </c>
      <c r="D1" s="29" t="s">
        <v>83</v>
      </c>
      <c r="E1" s="29" t="s">
        <v>83</v>
      </c>
      <c r="F1" s="29" t="s">
        <v>83</v>
      </c>
      <c r="G1" s="29" t="s">
        <v>72</v>
      </c>
      <c r="H1" s="29" t="s">
        <v>64</v>
      </c>
      <c r="I1" s="29" t="s">
        <v>64</v>
      </c>
      <c r="J1" s="29" t="s">
        <v>64</v>
      </c>
      <c r="K1" s="29" t="s">
        <v>64</v>
      </c>
      <c r="L1" s="29" t="s">
        <v>64</v>
      </c>
    </row>
    <row r="2" ht="14" customHeight="1" spans="1:12" x14ac:dyDescent="0.25">
      <c r="A2" s="30" t="s">
        <v>64</v>
      </c>
      <c r="B2" s="30" t="s">
        <v>64</v>
      </c>
      <c r="C2" s="30">
        <v>0.25</v>
      </c>
      <c r="D2" s="30">
        <v>0.2</v>
      </c>
      <c r="E2" s="30">
        <v>0.2</v>
      </c>
      <c r="F2" s="30">
        <v>0.2</v>
      </c>
      <c r="G2" s="30">
        <v>0.15</v>
      </c>
      <c r="H2" s="30" t="s">
        <v>64</v>
      </c>
      <c r="I2" s="30" t="s">
        <v>64</v>
      </c>
      <c r="J2" s="30" t="s">
        <v>64</v>
      </c>
      <c r="K2" s="30" t="s">
        <v>64</v>
      </c>
      <c r="L2" s="30" t="s">
        <v>64</v>
      </c>
    </row>
    <row r="3" ht="36" customHeight="1" spans="1:12" x14ac:dyDescent="0.25">
      <c r="A3" s="31" t="s">
        <v>84</v>
      </c>
      <c r="B3" s="31" t="s">
        <v>85</v>
      </c>
      <c r="C3" s="31" t="s">
        <v>86</v>
      </c>
      <c r="D3" s="31" t="s">
        <v>87</v>
      </c>
      <c r="E3" s="31" t="s">
        <v>88</v>
      </c>
      <c r="F3" s="31" t="s">
        <v>89</v>
      </c>
      <c r="G3" s="31" t="s">
        <v>90</v>
      </c>
      <c r="H3" s="31" t="s">
        <v>91</v>
      </c>
      <c r="I3" s="31" t="s">
        <v>92</v>
      </c>
      <c r="J3" s="31" t="s">
        <v>93</v>
      </c>
      <c r="K3" s="31" t="s">
        <v>94</v>
      </c>
      <c r="L3" s="31" t="s">
        <v>95</v>
      </c>
    </row>
    <row r="4" ht="20" customHeight="1" spans="1:12" x14ac:dyDescent="0.25">
      <c r="A4" s="32" t="s">
        <v>96</v>
      </c>
      <c r="B4" s="33" t="s">
        <v>97</v>
      </c>
      <c r="C4" s="34">
        <v>9.5</v>
      </c>
      <c r="D4" s="34">
        <v>9.8</v>
      </c>
      <c r="E4" s="34">
        <v>9.8</v>
      </c>
      <c r="F4" s="34">
        <v>9.2</v>
      </c>
      <c r="G4" s="34">
        <v>9.3</v>
      </c>
      <c r="H4" s="35">
        <f>C4*$C$2+D4*$D$2+E4*$E$2+F4*$F$2+G4*$G$2</f>
      </c>
      <c r="I4" s="36">
        <v>19900</v>
      </c>
      <c r="J4" s="37">
        <v>0.204</v>
      </c>
      <c r="K4" s="35">
        <v>9.35</v>
      </c>
      <c r="L4" s="38" t="s">
        <v>98</v>
      </c>
    </row>
    <row r="5" ht="20" customHeight="1" spans="1:12" x14ac:dyDescent="0.25">
      <c r="A5" s="39" t="s">
        <v>99</v>
      </c>
      <c r="B5" s="40" t="s">
        <v>100</v>
      </c>
      <c r="C5" s="41">
        <v>8.2</v>
      </c>
      <c r="D5" s="41">
        <v>8.5</v>
      </c>
      <c r="E5" s="41">
        <v>8.8</v>
      </c>
      <c r="F5" s="41">
        <v>9</v>
      </c>
      <c r="G5" s="41">
        <v>8.7</v>
      </c>
      <c r="H5" s="42">
        <f>C5*$C$2+D5*$D$2+E5*$E$2+F5*$F$2+G5*$G$2</f>
      </c>
      <c r="I5" s="43">
        <v>4500</v>
      </c>
      <c r="J5" s="44">
        <v>0.18</v>
      </c>
      <c r="K5" s="42">
        <v>8.42</v>
      </c>
      <c r="L5" s="45" t="s">
        <v>101</v>
      </c>
    </row>
    <row r="6" ht="20" customHeight="1" spans="1:12" x14ac:dyDescent="0.25">
      <c r="A6" s="46" t="s">
        <v>102</v>
      </c>
      <c r="B6" s="47" t="s">
        <v>103</v>
      </c>
      <c r="C6" s="27">
        <v>7.5</v>
      </c>
      <c r="D6" s="27">
        <v>7.2</v>
      </c>
      <c r="E6" s="27">
        <v>7</v>
      </c>
      <c r="F6" s="27">
        <v>7.8</v>
      </c>
      <c r="G6" s="27">
        <v>6.2</v>
      </c>
      <c r="H6" s="48">
        <f>C6*$C$2+D6*$D$2+E6*$E$2+F6*$F$2+G6*$G$2</f>
      </c>
      <c r="I6" s="49">
        <v>3800</v>
      </c>
      <c r="J6" s="50">
        <v>0.085</v>
      </c>
      <c r="K6" s="48">
        <v>7.18</v>
      </c>
      <c r="L6" s="51" t="s">
        <v>104</v>
      </c>
    </row>
    <row r="7" ht="20" customHeight="1" spans="1:12" x14ac:dyDescent="0.25">
      <c r="A7" s="52" t="s">
        <v>105</v>
      </c>
      <c r="B7" s="53" t="s">
        <v>106</v>
      </c>
      <c r="C7" s="28">
        <v>6.8</v>
      </c>
      <c r="D7" s="28">
        <v>7</v>
      </c>
      <c r="E7" s="28">
        <v>6.5</v>
      </c>
      <c r="F7" s="28">
        <v>7.5</v>
      </c>
      <c r="G7" s="28">
        <v>5.8</v>
      </c>
      <c r="H7" s="54">
        <f>C7*$C$2+D7*$D$2+E7*$E$2+F7*$F$2+G7*$G$2</f>
      </c>
      <c r="I7" s="55">
        <v>8000</v>
      </c>
      <c r="J7" s="56">
        <v>0.079</v>
      </c>
      <c r="K7" s="54">
        <v>6.73</v>
      </c>
      <c r="L7" s="57" t="s">
        <v>107</v>
      </c>
    </row>
    <row r="8" ht="20" customHeight="1" spans="1:12" x14ac:dyDescent="0.25">
      <c r="A8" s="46" t="s">
        <v>108</v>
      </c>
      <c r="B8" s="47" t="s">
        <v>109</v>
      </c>
      <c r="C8" s="27">
        <v>6</v>
      </c>
      <c r="D8" s="27">
        <v>6.5</v>
      </c>
      <c r="E8" s="27">
        <v>6.2</v>
      </c>
      <c r="F8" s="27">
        <v>6.8</v>
      </c>
      <c r="G8" s="27">
        <v>5.2</v>
      </c>
      <c r="H8" s="48">
        <f>C8*$C$2+D8*$D$2+E8*$E$2+F8*$F$2+G8*$G$2</f>
      </c>
      <c r="I8" s="49">
        <v>3000</v>
      </c>
      <c r="J8" s="50">
        <v>0.065</v>
      </c>
      <c r="K8" s="48">
        <v>6.18</v>
      </c>
      <c r="L8" s="51" t="s">
        <v>110</v>
      </c>
    </row>
    <row r="9" ht="20" customHeight="1" spans="1:12" x14ac:dyDescent="0.25">
      <c r="A9" s="52" t="s">
        <v>111</v>
      </c>
      <c r="B9" s="53" t="s">
        <v>112</v>
      </c>
      <c r="C9" s="28">
        <v>5.5</v>
      </c>
      <c r="D9" s="28">
        <v>6</v>
      </c>
      <c r="E9" s="28">
        <v>5.8</v>
      </c>
      <c r="F9" s="28">
        <v>6.2</v>
      </c>
      <c r="G9" s="28">
        <v>4.8</v>
      </c>
      <c r="H9" s="54">
        <f>C9*$C$2+D9*$D$2+E9*$E$2+F9*$F$2+G9*$G$2</f>
      </c>
      <c r="I9" s="55">
        <v>2200</v>
      </c>
      <c r="J9" s="56">
        <v>0.06</v>
      </c>
      <c r="K9" s="54">
        <v>5.29</v>
      </c>
      <c r="L9" s="57" t="s">
        <v>113</v>
      </c>
    </row>
    <row r="11" spans="1:12" x14ac:dyDescent="0.25">
      <c r="A11" s="58" t="s">
        <v>114</v>
      </c>
      <c r="B11" s="58" t="s">
        <v>64</v>
      </c>
      <c r="C11" s="58" t="s">
        <v>115</v>
      </c>
      <c r="D11" s="58" t="s">
        <v>115</v>
      </c>
      <c r="E11" s="58" t="s">
        <v>115</v>
      </c>
      <c r="F11" s="58" t="s">
        <v>115</v>
      </c>
      <c r="G11" s="58" t="s">
        <v>115</v>
      </c>
      <c r="H11" s="58" t="s">
        <v>115</v>
      </c>
      <c r="I11" s="58" t="s">
        <v>115</v>
      </c>
      <c r="J11" s="58" t="s">
        <v>115</v>
      </c>
      <c r="K11" s="58" t="s">
        <v>115</v>
      </c>
      <c r="L11" s="58" t="s">
        <v>64</v>
      </c>
    </row>
    <row r="12" spans="1:12" x14ac:dyDescent="0.25">
      <c r="A12" s="59" t="s">
        <v>64</v>
      </c>
      <c r="B12" s="59" t="s">
        <v>116</v>
      </c>
      <c r="C12" s="59" t="s">
        <v>117</v>
      </c>
      <c r="D12" s="59" t="s">
        <v>118</v>
      </c>
      <c r="E12" s="59" t="s">
        <v>119</v>
      </c>
      <c r="F12" s="59" t="s">
        <v>120</v>
      </c>
      <c r="G12" s="59" t="s">
        <v>121</v>
      </c>
      <c r="H12" s="60" t="s">
        <v>122</v>
      </c>
      <c r="I12" s="61" t="s">
        <v>123</v>
      </c>
      <c r="J12" s="62" t="s">
        <v>124</v>
      </c>
      <c r="K12" s="60" t="s">
        <v>125</v>
      </c>
      <c r="L12" s="59" t="s">
        <v>64</v>
      </c>
    </row>
    <row r="13" spans="1:12" x14ac:dyDescent="0.25">
      <c r="A13" s="63" t="s">
        <v>64</v>
      </c>
      <c r="B13" s="63" t="s">
        <v>126</v>
      </c>
      <c r="C13" s="63" t="s">
        <v>127</v>
      </c>
      <c r="D13" s="63" t="s">
        <v>128</v>
      </c>
      <c r="E13" s="63" t="s">
        <v>129</v>
      </c>
      <c r="F13" s="63" t="s">
        <v>130</v>
      </c>
      <c r="G13" s="63" t="s">
        <v>131</v>
      </c>
      <c r="H13" s="64" t="s">
        <v>132</v>
      </c>
      <c r="I13" s="65" t="s">
        <v>133</v>
      </c>
      <c r="J13" s="66" t="s">
        <v>134</v>
      </c>
      <c r="K13" s="64" t="s">
        <v>135</v>
      </c>
      <c r="L13" s="6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1" width="26" customWidth="1"/>
    <col min="2" max="2" width="13" customWidth="1"/>
    <col min="3" max="3" width="10" customWidth="1"/>
    <col min="4" max="13" width="11" customWidth="1"/>
    <col min="14" max="14" width="12" customWidth="1"/>
  </cols>
  <sheetData>
    <row r="1" ht="26" customHeight="1" spans="1:15" x14ac:dyDescent="0.25">
      <c r="A1" s="67" t="s">
        <v>136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x14ac:dyDescent="0.25">
      <c r="A2" s="68" t="s">
        <v>137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ht="22" customHeight="1" spans="1:14" x14ac:dyDescent="0.25">
      <c r="A3" s="6" t="s">
        <v>85</v>
      </c>
      <c r="B3" s="6" t="s">
        <v>138</v>
      </c>
      <c r="C3" s="6" t="s">
        <v>139</v>
      </c>
      <c r="D3" s="6" t="s">
        <v>140</v>
      </c>
      <c r="E3" s="6" t="s">
        <v>141</v>
      </c>
      <c r="F3" s="6" t="s">
        <v>142</v>
      </c>
      <c r="G3" s="6" t="s">
        <v>143</v>
      </c>
      <c r="H3" s="6" t="s">
        <v>144</v>
      </c>
      <c r="I3" s="6" t="s">
        <v>145</v>
      </c>
      <c r="J3" s="6" t="s">
        <v>146</v>
      </c>
      <c r="K3" s="6" t="s">
        <v>147</v>
      </c>
      <c r="L3" s="6" t="s">
        <v>148</v>
      </c>
      <c r="M3" s="6" t="s">
        <v>149</v>
      </c>
      <c r="N3" s="6" t="s">
        <v>150</v>
      </c>
    </row>
    <row r="4" ht="18" customHeight="1" spans="1:14" x14ac:dyDescent="0.25">
      <c r="A4" s="69" t="s">
        <v>97</v>
      </c>
      <c r="B4" s="70">
        <v>1990</v>
      </c>
      <c r="C4" s="71">
        <v>0.204</v>
      </c>
      <c r="D4" s="70">
        <f>B4</f>
      </c>
      <c r="E4" s="70">
        <f>$B4*(1+$C4)^1</f>
      </c>
      <c r="F4" s="70">
        <f>$B4*(1+$C4)^2</f>
      </c>
      <c r="G4" s="70">
        <f>$B4*(1+$C4)^3</f>
      </c>
      <c r="H4" s="70">
        <f>$B4*(1+$C4)^4</f>
      </c>
      <c r="I4" s="70">
        <f>$B4*(1+$C4)^5</f>
      </c>
      <c r="J4" s="70">
        <f>$B4*(1+$C4)^6</f>
      </c>
      <c r="K4" s="70">
        <f>$B4*(1+$C4)^7</f>
      </c>
      <c r="L4" s="70">
        <f>$B4*(1+$C4)^8</f>
      </c>
      <c r="M4" s="70">
        <f>$B4*(1+$C4)^9</f>
      </c>
      <c r="N4" s="72">
        <f>(M4/D4)^(1/9)-1</f>
      </c>
    </row>
    <row r="5" ht="18" customHeight="1" spans="1:14" x14ac:dyDescent="0.25">
      <c r="A5" s="73" t="s">
        <v>100</v>
      </c>
      <c r="B5" s="74">
        <v>380</v>
      </c>
      <c r="C5" s="75">
        <v>0.18</v>
      </c>
      <c r="D5" s="74">
        <f>B5</f>
      </c>
      <c r="E5" s="74">
        <f>$B5*(1+$C5)^1</f>
      </c>
      <c r="F5" s="74">
        <f>$B5*(1+$C5)^2</f>
      </c>
      <c r="G5" s="74">
        <f>$B5*(1+$C5)^3</f>
      </c>
      <c r="H5" s="74">
        <f>$B5*(1+$C5)^4</f>
      </c>
      <c r="I5" s="74">
        <f>$B5*(1+$C5)^5</f>
      </c>
      <c r="J5" s="74">
        <f>$B5*(1+$C5)^6</f>
      </c>
      <c r="K5" s="74">
        <f>$B5*(1+$C5)^7</f>
      </c>
      <c r="L5" s="74">
        <f>$B5*(1+$C5)^8</f>
      </c>
      <c r="M5" s="74">
        <f>$B5*(1+$C5)^9</f>
      </c>
      <c r="N5" s="76">
        <f>(M5/D5)^(1/9)-1</f>
      </c>
    </row>
    <row r="6" ht="18" customHeight="1" spans="1:14" x14ac:dyDescent="0.25">
      <c r="A6" s="77" t="s">
        <v>103</v>
      </c>
      <c r="B6" s="78">
        <v>342</v>
      </c>
      <c r="C6" s="79">
        <v>0.085</v>
      </c>
      <c r="D6" s="78">
        <f>B6</f>
      </c>
      <c r="E6" s="78">
        <f>$B6*(1+$C6)^1</f>
      </c>
      <c r="F6" s="78">
        <f>$B6*(1+$C6)^2</f>
      </c>
      <c r="G6" s="78">
        <f>$B6*(1+$C6)^3</f>
      </c>
      <c r="H6" s="78">
        <f>$B6*(1+$C6)^4</f>
      </c>
      <c r="I6" s="78">
        <f>$B6*(1+$C6)^5</f>
      </c>
      <c r="J6" s="78">
        <f>$B6*(1+$C6)^6</f>
      </c>
      <c r="K6" s="78">
        <f>$B6*(1+$C6)^7</f>
      </c>
      <c r="L6" s="78">
        <f>$B6*(1+$C6)^8</f>
      </c>
      <c r="M6" s="78">
        <f>$B6*(1+$C6)^9</f>
      </c>
      <c r="N6" s="80">
        <f>(M6/D6)^(1/9)-1</f>
      </c>
    </row>
    <row r="7" ht="18" customHeight="1" spans="1:14" x14ac:dyDescent="0.25">
      <c r="A7" s="11" t="s">
        <v>106</v>
      </c>
      <c r="B7" s="81">
        <v>3430</v>
      </c>
      <c r="C7" s="82">
        <v>0.079</v>
      </c>
      <c r="D7" s="81">
        <f>B7</f>
      </c>
      <c r="E7" s="81">
        <f>$B7*(1+$C7)^1</f>
      </c>
      <c r="F7" s="81">
        <f>$B7*(1+$C7)^2</f>
      </c>
      <c r="G7" s="81">
        <f>$B7*(1+$C7)^3</f>
      </c>
      <c r="H7" s="81">
        <f>$B7*(1+$C7)^4</f>
      </c>
      <c r="I7" s="81">
        <f>$B7*(1+$C7)^5</f>
      </c>
      <c r="J7" s="81">
        <f>$B7*(1+$C7)^6</f>
      </c>
      <c r="K7" s="81">
        <f>$B7*(1+$C7)^7</f>
      </c>
      <c r="L7" s="81">
        <f>$B7*(1+$C7)^8</f>
      </c>
      <c r="M7" s="81">
        <f>$B7*(1+$C7)^9</f>
      </c>
      <c r="N7" s="83">
        <f>(M7/D7)^(1/9)-1</f>
      </c>
    </row>
    <row r="8" ht="18" customHeight="1" spans="1:14" x14ac:dyDescent="0.25">
      <c r="A8" s="77" t="s">
        <v>109</v>
      </c>
      <c r="B8" s="78">
        <v>290</v>
      </c>
      <c r="C8" s="79">
        <v>0.065</v>
      </c>
      <c r="D8" s="78">
        <f>B8</f>
      </c>
      <c r="E8" s="78">
        <f>$B8*(1+$C8)^1</f>
      </c>
      <c r="F8" s="78">
        <f>$B8*(1+$C8)^2</f>
      </c>
      <c r="G8" s="78">
        <f>$B8*(1+$C8)^3</f>
      </c>
      <c r="H8" s="78">
        <f>$B8*(1+$C8)^4</f>
      </c>
      <c r="I8" s="78">
        <f>$B8*(1+$C8)^5</f>
      </c>
      <c r="J8" s="78">
        <f>$B8*(1+$C8)^6</f>
      </c>
      <c r="K8" s="78">
        <f>$B8*(1+$C8)^7</f>
      </c>
      <c r="L8" s="78">
        <f>$B8*(1+$C8)^8</f>
      </c>
      <c r="M8" s="78">
        <f>$B8*(1+$C8)^9</f>
      </c>
      <c r="N8" s="80">
        <f>(M8/D8)^(1/9)-1</f>
      </c>
    </row>
    <row r="9" ht="18" customHeight="1" spans="1:14" x14ac:dyDescent="0.25">
      <c r="A9" s="11" t="s">
        <v>112</v>
      </c>
      <c r="B9" s="81">
        <v>215</v>
      </c>
      <c r="C9" s="82">
        <v>0.06</v>
      </c>
      <c r="D9" s="81">
        <f>B9</f>
      </c>
      <c r="E9" s="81">
        <f>$B9*(1+$C9)^1</f>
      </c>
      <c r="F9" s="81">
        <f>$B9*(1+$C9)^2</f>
      </c>
      <c r="G9" s="81">
        <f>$B9*(1+$C9)^3</f>
      </c>
      <c r="H9" s="81">
        <f>$B9*(1+$C9)^4</f>
      </c>
      <c r="I9" s="81">
        <f>$B9*(1+$C9)^5</f>
      </c>
      <c r="J9" s="81">
        <f>$B9*(1+$C9)^6</f>
      </c>
      <c r="K9" s="81">
        <f>$B9*(1+$C9)^7</f>
      </c>
      <c r="L9" s="81">
        <f>$B9*(1+$C9)^8</f>
      </c>
      <c r="M9" s="81">
        <f>$B9*(1+$C9)^9</f>
      </c>
      <c r="N9" s="83">
        <f>(M9/D9)^(1/9)-1</f>
      </c>
    </row>
    <row r="10" spans="1:14" x14ac:dyDescent="0.25">
      <c r="A10" s="84" t="s">
        <v>151</v>
      </c>
      <c r="B10" s="85">
        <f>SUM(B4:B9)</f>
      </c>
      <c r="C10" s="6" t="s">
        <v>64</v>
      </c>
      <c r="D10" s="85">
        <f>SUM(D4:D9)</f>
      </c>
      <c r="E10" s="85">
        <f>SUM(E4:E9)</f>
      </c>
      <c r="F10" s="85">
        <f>SUM(F4:F9)</f>
      </c>
      <c r="G10" s="85">
        <f>SUM(G4:G9)</f>
      </c>
      <c r="H10" s="85">
        <f>SUM(H4:H9)</f>
      </c>
      <c r="I10" s="85">
        <f>SUM(I4:I9)</f>
      </c>
      <c r="J10" s="85">
        <f>SUM(J4:J9)</f>
      </c>
      <c r="K10" s="85">
        <f>SUM(K4:K9)</f>
      </c>
      <c r="L10" s="85">
        <f>SUM(L4:L9)</f>
      </c>
      <c r="M10" s="85">
        <f>SUM(M4:M9)</f>
      </c>
      <c r="N10" s="6" t="s">
        <v>64</v>
      </c>
    </row>
    <row r="12" spans="1:15" x14ac:dyDescent="0.25">
      <c r="A12" s="25" t="s">
        <v>152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4" x14ac:dyDescent="0.25">
      <c r="A13" s="9" t="s">
        <v>153</v>
      </c>
      <c r="B13" s="9" t="s">
        <v>154</v>
      </c>
      <c r="C13" s="9" t="s">
        <v>155</v>
      </c>
      <c r="D13" s="9" t="s">
        <v>140</v>
      </c>
      <c r="E13" s="9" t="s">
        <v>141</v>
      </c>
      <c r="F13" s="9" t="s">
        <v>142</v>
      </c>
      <c r="G13" s="9" t="s">
        <v>143</v>
      </c>
      <c r="H13" s="9" t="s">
        <v>144</v>
      </c>
      <c r="I13" s="9" t="s">
        <v>145</v>
      </c>
      <c r="J13" s="9" t="s">
        <v>146</v>
      </c>
      <c r="K13" s="9" t="s">
        <v>147</v>
      </c>
      <c r="L13" s="9" t="s">
        <v>148</v>
      </c>
      <c r="M13" s="9" t="s">
        <v>149</v>
      </c>
      <c r="N13" s="9" t="s">
        <v>39</v>
      </c>
    </row>
    <row r="14" spans="1:14" x14ac:dyDescent="0.25">
      <c r="A14" s="47" t="s">
        <v>156</v>
      </c>
      <c r="B14" s="86">
        <v>0.03</v>
      </c>
      <c r="C14" s="27" t="s">
        <v>64</v>
      </c>
      <c r="D14" s="49">
        <f>D4*0.03</f>
      </c>
      <c r="E14" s="49">
        <f>E4*0.03</f>
      </c>
      <c r="F14" s="49">
        <f>F4*0.03</f>
      </c>
      <c r="G14" s="49">
        <f>G4*0.03</f>
      </c>
      <c r="H14" s="49">
        <f>H4*0.03</f>
      </c>
      <c r="I14" s="49">
        <f>I4*0.03</f>
      </c>
      <c r="J14" s="49">
        <f>J4*0.03</f>
      </c>
      <c r="K14" s="49">
        <f>K4*0.03</f>
      </c>
      <c r="L14" s="49">
        <f>L4*0.03</f>
      </c>
      <c r="M14" s="49">
        <f>M4*0.03</f>
      </c>
      <c r="N14" s="27" t="s">
        <v>157</v>
      </c>
    </row>
    <row r="15" spans="1:14" x14ac:dyDescent="0.25">
      <c r="A15" s="87" t="s">
        <v>158</v>
      </c>
      <c r="B15" s="88">
        <v>0.06</v>
      </c>
      <c r="C15" s="89" t="s">
        <v>64</v>
      </c>
      <c r="D15" s="90">
        <f>D4*0.06</f>
      </c>
      <c r="E15" s="90">
        <f>E4*0.06</f>
      </c>
      <c r="F15" s="90">
        <f>F4*0.06</f>
      </c>
      <c r="G15" s="90">
        <f>G4*0.06</f>
      </c>
      <c r="H15" s="90">
        <f>H4*0.06</f>
      </c>
      <c r="I15" s="90">
        <f>I4*0.06</f>
      </c>
      <c r="J15" s="90">
        <f>J4*0.06</f>
      </c>
      <c r="K15" s="90">
        <f>K4*0.06</f>
      </c>
      <c r="L15" s="90">
        <f>L4*0.06</f>
      </c>
      <c r="M15" s="90">
        <f>M4*0.06</f>
      </c>
      <c r="N15" s="89" t="s">
        <v>157</v>
      </c>
    </row>
    <row r="16" spans="1:14" x14ac:dyDescent="0.25">
      <c r="A16" s="47" t="s">
        <v>159</v>
      </c>
      <c r="B16" s="86">
        <v>0.1</v>
      </c>
      <c r="C16" s="27" t="s">
        <v>64</v>
      </c>
      <c r="D16" s="49">
        <f>D4*0.1</f>
      </c>
      <c r="E16" s="49">
        <f>E4*0.1</f>
      </c>
      <c r="F16" s="49">
        <f>F4*0.1</f>
      </c>
      <c r="G16" s="49">
        <f>G4*0.1</f>
      </c>
      <c r="H16" s="49">
        <f>H4*0.1</f>
      </c>
      <c r="I16" s="49">
        <f>I4*0.1</f>
      </c>
      <c r="J16" s="49">
        <f>J4*0.1</f>
      </c>
      <c r="K16" s="49">
        <f>K4*0.1</f>
      </c>
      <c r="L16" s="49">
        <f>L4*0.1</f>
      </c>
      <c r="M16" s="49">
        <f>M4*0.1</f>
      </c>
      <c r="N16" s="27" t="s">
        <v>157</v>
      </c>
    </row>
  </sheetData>
  <mergeCells count="3">
    <mergeCell ref="A1:O1"/>
    <mergeCell ref="A2:O2"/>
    <mergeCell ref="A12:O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defaultRowHeight="15" outlineLevelRow="0" outlineLevelCol="0" x14ac:dyDescent="55"/>
  <cols>
    <col min="1" max="1" width="28" customWidth="1"/>
    <col min="2" max="2" width="10" customWidth="1"/>
    <col min="3" max="5" width="14" customWidth="1"/>
    <col min="6" max="6" width="38" customWidth="1"/>
  </cols>
  <sheetData>
    <row r="1" ht="28" customHeight="1" spans="1:6" x14ac:dyDescent="0.25">
      <c r="A1" s="91" t="s">
        <v>160</v>
      </c>
      <c r="B1" s="91"/>
      <c r="C1" s="91"/>
      <c r="D1" s="91"/>
      <c r="E1" s="91"/>
      <c r="F1" s="91"/>
    </row>
    <row r="3" spans="1:6" x14ac:dyDescent="0.25">
      <c r="A3" s="92" t="s">
        <v>161</v>
      </c>
      <c r="B3" s="92"/>
      <c r="C3" s="92"/>
      <c r="D3" s="92"/>
      <c r="E3" s="92"/>
      <c r="F3" s="92"/>
    </row>
    <row r="4" spans="1:6" x14ac:dyDescent="0.25">
      <c r="A4" s="6" t="s">
        <v>162</v>
      </c>
      <c r="B4" s="6" t="s">
        <v>163</v>
      </c>
      <c r="C4" s="6" t="s">
        <v>164</v>
      </c>
      <c r="D4" s="6" t="s">
        <v>165</v>
      </c>
      <c r="E4" s="6" t="s">
        <v>166</v>
      </c>
      <c r="F4" s="6" t="s">
        <v>39</v>
      </c>
    </row>
    <row r="5" ht="18" customHeight="1" spans="1:6" x14ac:dyDescent="0.25">
      <c r="A5" s="93" t="s">
        <v>167</v>
      </c>
      <c r="B5" s="94" t="s">
        <v>168</v>
      </c>
      <c r="C5" s="95">
        <v>18</v>
      </c>
      <c r="D5" s="95">
        <v>18</v>
      </c>
      <c r="E5" s="95">
        <v>18</v>
      </c>
      <c r="F5" s="94" t="s">
        <v>169</v>
      </c>
    </row>
    <row r="6" ht="18" customHeight="1" spans="1:6" x14ac:dyDescent="0.25">
      <c r="A6" s="93" t="s">
        <v>170</v>
      </c>
      <c r="B6" s="94" t="s">
        <v>171</v>
      </c>
      <c r="C6" s="95">
        <v>1.8</v>
      </c>
      <c r="D6" s="95">
        <v>1.5</v>
      </c>
      <c r="E6" s="95">
        <v>1.2</v>
      </c>
      <c r="F6" s="94" t="s">
        <v>172</v>
      </c>
    </row>
    <row r="7" ht="18" customHeight="1" spans="1:6" x14ac:dyDescent="0.25">
      <c r="A7" s="93" t="s">
        <v>173</v>
      </c>
      <c r="B7" s="94" t="s">
        <v>174</v>
      </c>
      <c r="C7" s="96">
        <v>25</v>
      </c>
      <c r="D7" s="96">
        <v>35</v>
      </c>
      <c r="E7" s="96">
        <v>50</v>
      </c>
      <c r="F7" s="94" t="s">
        <v>175</v>
      </c>
    </row>
    <row r="8" ht="18" customHeight="1" spans="1:6" x14ac:dyDescent="0.25">
      <c r="A8" s="93" t="s">
        <v>176</v>
      </c>
      <c r="B8" s="94" t="s">
        <v>174</v>
      </c>
      <c r="C8" s="96">
        <v>15</v>
      </c>
      <c r="D8" s="96">
        <v>22</v>
      </c>
      <c r="E8" s="96">
        <v>35</v>
      </c>
      <c r="F8" s="94" t="s">
        <v>177</v>
      </c>
    </row>
    <row r="9" ht="18" customHeight="1" spans="1:6" x14ac:dyDescent="0.25">
      <c r="A9" s="93" t="s">
        <v>178</v>
      </c>
      <c r="B9" s="94" t="s">
        <v>168</v>
      </c>
      <c r="C9" s="95">
        <v>8</v>
      </c>
      <c r="D9" s="95">
        <v>12</v>
      </c>
      <c r="E9" s="95">
        <v>18</v>
      </c>
      <c r="F9" s="94" t="s">
        <v>179</v>
      </c>
    </row>
    <row r="10" ht="18" customHeight="1" spans="1:6" x14ac:dyDescent="0.25">
      <c r="A10" s="93" t="s">
        <v>180</v>
      </c>
      <c r="B10" s="94" t="s">
        <v>174</v>
      </c>
      <c r="C10" s="96">
        <v>12</v>
      </c>
      <c r="D10" s="96">
        <v>10</v>
      </c>
      <c r="E10" s="96">
        <v>8</v>
      </c>
      <c r="F10" s="94" t="s">
        <v>181</v>
      </c>
    </row>
    <row r="11" ht="18" customHeight="1" spans="1:6" x14ac:dyDescent="0.25">
      <c r="A11" s="93" t="s">
        <v>182</v>
      </c>
      <c r="B11" s="94" t="s">
        <v>174</v>
      </c>
      <c r="C11" s="96">
        <v>25</v>
      </c>
      <c r="D11" s="96">
        <v>22</v>
      </c>
      <c r="E11" s="96">
        <v>20</v>
      </c>
      <c r="F11" s="94" t="s">
        <v>183</v>
      </c>
    </row>
    <row r="12" ht="18" customHeight="1" spans="1:6" x14ac:dyDescent="0.25">
      <c r="A12" s="93" t="s">
        <v>184</v>
      </c>
      <c r="B12" s="94" t="s">
        <v>168</v>
      </c>
      <c r="C12" s="95">
        <v>30</v>
      </c>
      <c r="D12" s="95">
        <v>45</v>
      </c>
      <c r="E12" s="95">
        <v>60</v>
      </c>
      <c r="F12" s="94" t="s">
        <v>185</v>
      </c>
    </row>
    <row r="14" spans="1:6" x14ac:dyDescent="0.25">
      <c r="A14" s="97" t="s">
        <v>186</v>
      </c>
      <c r="B14" s="97"/>
      <c r="C14" s="97"/>
      <c r="D14" s="97"/>
      <c r="E14" s="97"/>
      <c r="F14" s="97"/>
    </row>
    <row r="15" spans="1:6" x14ac:dyDescent="0.25">
      <c r="A15" s="9" t="s">
        <v>187</v>
      </c>
      <c r="B15" s="9" t="s">
        <v>153</v>
      </c>
      <c r="C15" s="9" t="s">
        <v>188</v>
      </c>
      <c r="D15" s="9" t="s">
        <v>189</v>
      </c>
      <c r="E15" s="9" t="s">
        <v>190</v>
      </c>
      <c r="F15" s="9" t="s">
        <v>39</v>
      </c>
    </row>
    <row r="16" ht="17" customHeight="1" spans="1:6" x14ac:dyDescent="0.25">
      <c r="A16" s="46">
        <v>2026</v>
      </c>
      <c r="B16" s="98" t="s">
        <v>164</v>
      </c>
      <c r="C16" s="99">
        <f>C9</f>
      </c>
      <c r="D16" s="27" t="s">
        <v>64</v>
      </c>
      <c r="E16" s="50" t="s">
        <v>191</v>
      </c>
      <c r="F16" s="27" t="s">
        <v>64</v>
      </c>
    </row>
    <row r="17" ht="17" customHeight="1" spans="1:6" x14ac:dyDescent="0.25">
      <c r="A17" s="7">
        <v>2027</v>
      </c>
      <c r="B17" s="98" t="s">
        <v>164</v>
      </c>
      <c r="C17" s="99">
        <f>C16*(1+C7/100)</f>
      </c>
      <c r="D17" s="27" t="s">
        <v>64</v>
      </c>
      <c r="E17" s="50">
        <f>C17/C16-1</f>
      </c>
      <c r="F17" s="27" t="s">
        <v>64</v>
      </c>
    </row>
    <row r="18" ht="17" customHeight="1" spans="1:6" x14ac:dyDescent="0.25">
      <c r="A18" s="7">
        <v>2028</v>
      </c>
      <c r="B18" s="98" t="s">
        <v>164</v>
      </c>
      <c r="C18" s="99">
        <f>C17*(1+C7/100)</f>
      </c>
      <c r="D18" s="27" t="s">
        <v>64</v>
      </c>
      <c r="E18" s="50">
        <f>C18/C17-1</f>
      </c>
      <c r="F18" s="27" t="s">
        <v>64</v>
      </c>
    </row>
    <row r="19" ht="17" customHeight="1" spans="1:6" x14ac:dyDescent="0.25">
      <c r="A19" s="7">
        <v>2029</v>
      </c>
      <c r="B19" s="98" t="s">
        <v>164</v>
      </c>
      <c r="C19" s="99">
        <f>C18*(1+C7/100)</f>
      </c>
      <c r="D19" s="27" t="s">
        <v>64</v>
      </c>
      <c r="E19" s="50">
        <f>C19/C18-1</f>
      </c>
      <c r="F19" s="27" t="s">
        <v>64</v>
      </c>
    </row>
    <row r="20" ht="17" customHeight="1" spans="1:6" x14ac:dyDescent="0.25">
      <c r="A20" s="7">
        <v>2030</v>
      </c>
      <c r="B20" s="98" t="s">
        <v>164</v>
      </c>
      <c r="C20" s="99">
        <f>C19*(1+C7/100)</f>
      </c>
      <c r="D20" s="27" t="s">
        <v>64</v>
      </c>
      <c r="E20" s="50">
        <f>C20/C19-1</f>
      </c>
      <c r="F20" s="27" t="s">
        <v>64</v>
      </c>
    </row>
    <row r="21" ht="17" customHeight="1" spans="1:6" x14ac:dyDescent="0.25">
      <c r="A21" s="7">
        <v>2031</v>
      </c>
      <c r="B21" s="98" t="s">
        <v>164</v>
      </c>
      <c r="C21" s="99">
        <f>C20*(1+C8/100)</f>
      </c>
      <c r="D21" s="27" t="s">
        <v>64</v>
      </c>
      <c r="E21" s="50">
        <f>C21/C20-1</f>
      </c>
      <c r="F21" s="27" t="s">
        <v>64</v>
      </c>
    </row>
    <row r="22" ht="17" customHeight="1" spans="1:6" x14ac:dyDescent="0.25">
      <c r="A22" s="7">
        <v>2032</v>
      </c>
      <c r="B22" s="98" t="s">
        <v>164</v>
      </c>
      <c r="C22" s="99">
        <f>C21*(1+C8/100)</f>
      </c>
      <c r="D22" s="27" t="s">
        <v>64</v>
      </c>
      <c r="E22" s="50">
        <f>C22/C21-1</f>
      </c>
      <c r="F22" s="27" t="s">
        <v>64</v>
      </c>
    </row>
    <row r="23" ht="17" customHeight="1" spans="1:6" x14ac:dyDescent="0.25">
      <c r="A23" s="7">
        <v>2033</v>
      </c>
      <c r="B23" s="98" t="s">
        <v>164</v>
      </c>
      <c r="C23" s="99">
        <f>C22*(1+C8/100)</f>
      </c>
      <c r="D23" s="27" t="s">
        <v>64</v>
      </c>
      <c r="E23" s="50">
        <f>C23/C22-1</f>
      </c>
      <c r="F23" s="27" t="s">
        <v>64</v>
      </c>
    </row>
    <row r="24" ht="17" customHeight="1" spans="1:6" x14ac:dyDescent="0.25">
      <c r="A24" s="7">
        <v>2034</v>
      </c>
      <c r="B24" s="98" t="s">
        <v>164</v>
      </c>
      <c r="C24" s="99">
        <f>C23*(1+C8/100)</f>
      </c>
      <c r="D24" s="27" t="s">
        <v>64</v>
      </c>
      <c r="E24" s="50">
        <f>C24/C23-1</f>
      </c>
      <c r="F24" s="27" t="s">
        <v>64</v>
      </c>
    </row>
    <row r="25" ht="17" customHeight="1" spans="1:6" x14ac:dyDescent="0.25">
      <c r="A25" s="7">
        <v>2035</v>
      </c>
      <c r="B25" s="98" t="s">
        <v>164</v>
      </c>
      <c r="C25" s="100">
        <f>C24*(1+C8/100)</f>
      </c>
      <c r="D25" s="27" t="s">
        <v>64</v>
      </c>
      <c r="E25" s="50">
        <f>C25/C24-1</f>
      </c>
      <c r="F25" s="27" t="s">
        <v>64</v>
      </c>
    </row>
    <row r="27" ht="17" customHeight="1" spans="1:6" x14ac:dyDescent="0.25">
      <c r="A27" s="101">
        <v>2026</v>
      </c>
      <c r="B27" s="102" t="s">
        <v>165</v>
      </c>
      <c r="C27" s="103">
        <f>D9</f>
      </c>
      <c r="D27" s="89" t="s">
        <v>64</v>
      </c>
      <c r="E27" s="104" t="s">
        <v>191</v>
      </c>
      <c r="F27" s="89" t="s">
        <v>64</v>
      </c>
    </row>
    <row r="28" ht="17" customHeight="1" spans="1:6" x14ac:dyDescent="0.25">
      <c r="A28" s="105">
        <v>2027</v>
      </c>
      <c r="B28" s="102" t="s">
        <v>165</v>
      </c>
      <c r="C28" s="103">
        <f>D26*(1+D7/100)</f>
      </c>
      <c r="D28" s="89" t="s">
        <v>64</v>
      </c>
      <c r="E28" s="104">
        <f>C27/C26-1</f>
      </c>
      <c r="F28" s="89" t="s">
        <v>64</v>
      </c>
    </row>
    <row r="29" ht="17" customHeight="1" spans="1:6" x14ac:dyDescent="0.25">
      <c r="A29" s="105">
        <v>2028</v>
      </c>
      <c r="B29" s="102" t="s">
        <v>165</v>
      </c>
      <c r="C29" s="103">
        <f>D27*(1+D7/100)</f>
      </c>
      <c r="D29" s="89" t="s">
        <v>64</v>
      </c>
      <c r="E29" s="104">
        <f>C28/C27-1</f>
      </c>
      <c r="F29" s="89" t="s">
        <v>64</v>
      </c>
    </row>
    <row r="30" ht="17" customHeight="1" spans="1:6" x14ac:dyDescent="0.25">
      <c r="A30" s="105">
        <v>2029</v>
      </c>
      <c r="B30" s="102" t="s">
        <v>165</v>
      </c>
      <c r="C30" s="103">
        <f>D28*(1+D7/100)</f>
      </c>
      <c r="D30" s="89" t="s">
        <v>64</v>
      </c>
      <c r="E30" s="104">
        <f>C29/C28-1</f>
      </c>
      <c r="F30" s="89" t="s">
        <v>64</v>
      </c>
    </row>
    <row r="31" ht="17" customHeight="1" spans="1:6" x14ac:dyDescent="0.25">
      <c r="A31" s="105">
        <v>2030</v>
      </c>
      <c r="B31" s="102" t="s">
        <v>165</v>
      </c>
      <c r="C31" s="103">
        <f>D29*(1+D7/100)</f>
      </c>
      <c r="D31" s="89" t="s">
        <v>64</v>
      </c>
      <c r="E31" s="104">
        <f>C30/C29-1</f>
      </c>
      <c r="F31" s="89" t="s">
        <v>64</v>
      </c>
    </row>
    <row r="32" ht="17" customHeight="1" spans="1:6" x14ac:dyDescent="0.25">
      <c r="A32" s="105">
        <v>2031</v>
      </c>
      <c r="B32" s="102" t="s">
        <v>165</v>
      </c>
      <c r="C32" s="103">
        <f>D30*(1+D8/100)</f>
      </c>
      <c r="D32" s="89" t="s">
        <v>64</v>
      </c>
      <c r="E32" s="104">
        <f>C31/C30-1</f>
      </c>
      <c r="F32" s="89" t="s">
        <v>64</v>
      </c>
    </row>
    <row r="33" ht="17" customHeight="1" spans="1:6" x14ac:dyDescent="0.25">
      <c r="A33" s="105">
        <v>2032</v>
      </c>
      <c r="B33" s="102" t="s">
        <v>165</v>
      </c>
      <c r="C33" s="103">
        <f>D31*(1+D8/100)</f>
      </c>
      <c r="D33" s="89" t="s">
        <v>64</v>
      </c>
      <c r="E33" s="104">
        <f>C32/C31-1</f>
      </c>
      <c r="F33" s="89" t="s">
        <v>64</v>
      </c>
    </row>
    <row r="34" ht="17" customHeight="1" spans="1:6" x14ac:dyDescent="0.25">
      <c r="A34" s="105">
        <v>2033</v>
      </c>
      <c r="B34" s="102" t="s">
        <v>165</v>
      </c>
      <c r="C34" s="103">
        <f>D32*(1+D8/100)</f>
      </c>
      <c r="D34" s="89" t="s">
        <v>64</v>
      </c>
      <c r="E34" s="104">
        <f>C33/C32-1</f>
      </c>
      <c r="F34" s="89" t="s">
        <v>64</v>
      </c>
    </row>
    <row r="35" ht="17" customHeight="1" spans="1:6" x14ac:dyDescent="0.25">
      <c r="A35" s="105">
        <v>2034</v>
      </c>
      <c r="B35" s="102" t="s">
        <v>165</v>
      </c>
      <c r="C35" s="103">
        <f>D33*(1+D8/100)</f>
      </c>
      <c r="D35" s="89" t="s">
        <v>64</v>
      </c>
      <c r="E35" s="104">
        <f>C34/C33-1</f>
      </c>
      <c r="F35" s="89" t="s">
        <v>64</v>
      </c>
    </row>
    <row r="36" ht="17" customHeight="1" spans="1:6" x14ac:dyDescent="0.25">
      <c r="A36" s="105">
        <v>2035</v>
      </c>
      <c r="B36" s="102" t="s">
        <v>165</v>
      </c>
      <c r="C36" s="106">
        <f>D34*(1+D8/100)</f>
      </c>
      <c r="D36" s="89" t="s">
        <v>64</v>
      </c>
      <c r="E36" s="104">
        <f>C35/C34-1</f>
      </c>
      <c r="F36" s="89" t="s">
        <v>64</v>
      </c>
    </row>
    <row r="38" ht="17" customHeight="1" spans="1:6" x14ac:dyDescent="0.25">
      <c r="A38" s="107">
        <v>2026</v>
      </c>
      <c r="B38" s="108" t="s">
        <v>166</v>
      </c>
      <c r="C38" s="109">
        <f>E9</f>
      </c>
      <c r="D38" s="34" t="s">
        <v>64</v>
      </c>
      <c r="E38" s="37" t="s">
        <v>191</v>
      </c>
      <c r="F38" s="34" t="s">
        <v>64</v>
      </c>
    </row>
    <row r="39" ht="17" customHeight="1" spans="1:6" x14ac:dyDescent="0.25">
      <c r="A39" s="110">
        <v>2027</v>
      </c>
      <c r="B39" s="108" t="s">
        <v>166</v>
      </c>
      <c r="C39" s="109">
        <f>E36*(1+E7/100)</f>
      </c>
      <c r="D39" s="34" t="s">
        <v>64</v>
      </c>
      <c r="E39" s="37">
        <f>C37/C36-1</f>
      </c>
      <c r="F39" s="34" t="s">
        <v>64</v>
      </c>
    </row>
    <row r="40" ht="17" customHeight="1" spans="1:6" x14ac:dyDescent="0.25">
      <c r="A40" s="110">
        <v>2028</v>
      </c>
      <c r="B40" s="108" t="s">
        <v>166</v>
      </c>
      <c r="C40" s="109">
        <f>E37*(1+E7/100)</f>
      </c>
      <c r="D40" s="34" t="s">
        <v>64</v>
      </c>
      <c r="E40" s="37">
        <f>C38/C37-1</f>
      </c>
      <c r="F40" s="34" t="s">
        <v>64</v>
      </c>
    </row>
    <row r="41" ht="17" customHeight="1" spans="1:6" x14ac:dyDescent="0.25">
      <c r="A41" s="110">
        <v>2029</v>
      </c>
      <c r="B41" s="108" t="s">
        <v>166</v>
      </c>
      <c r="C41" s="109">
        <f>E38*(1+E7/100)</f>
      </c>
      <c r="D41" s="34" t="s">
        <v>64</v>
      </c>
      <c r="E41" s="37">
        <f>C39/C38-1</f>
      </c>
      <c r="F41" s="34" t="s">
        <v>64</v>
      </c>
    </row>
    <row r="42" ht="17" customHeight="1" spans="1:6" x14ac:dyDescent="0.25">
      <c r="A42" s="110">
        <v>2030</v>
      </c>
      <c r="B42" s="108" t="s">
        <v>166</v>
      </c>
      <c r="C42" s="109">
        <f>E39*(1+E7/100)</f>
      </c>
      <c r="D42" s="34" t="s">
        <v>64</v>
      </c>
      <c r="E42" s="37">
        <f>C40/C39-1</f>
      </c>
      <c r="F42" s="34" t="s">
        <v>64</v>
      </c>
    </row>
    <row r="43" ht="17" customHeight="1" spans="1:6" x14ac:dyDescent="0.25">
      <c r="A43" s="110">
        <v>2031</v>
      </c>
      <c r="B43" s="108" t="s">
        <v>166</v>
      </c>
      <c r="C43" s="109">
        <f>E40*(1+E8/100)</f>
      </c>
      <c r="D43" s="34" t="s">
        <v>64</v>
      </c>
      <c r="E43" s="37">
        <f>C41/C40-1</f>
      </c>
      <c r="F43" s="34" t="s">
        <v>64</v>
      </c>
    </row>
    <row r="44" ht="17" customHeight="1" spans="1:6" x14ac:dyDescent="0.25">
      <c r="A44" s="110">
        <v>2032</v>
      </c>
      <c r="B44" s="108" t="s">
        <v>166</v>
      </c>
      <c r="C44" s="109">
        <f>E41*(1+E8/100)</f>
      </c>
      <c r="D44" s="34" t="s">
        <v>64</v>
      </c>
      <c r="E44" s="37">
        <f>C42/C41-1</f>
      </c>
      <c r="F44" s="34" t="s">
        <v>64</v>
      </c>
    </row>
    <row r="45" ht="17" customHeight="1" spans="1:6" x14ac:dyDescent="0.25">
      <c r="A45" s="110">
        <v>2033</v>
      </c>
      <c r="B45" s="108" t="s">
        <v>166</v>
      </c>
      <c r="C45" s="109">
        <f>E42*(1+E8/100)</f>
      </c>
      <c r="D45" s="34" t="s">
        <v>64</v>
      </c>
      <c r="E45" s="37">
        <f>C43/C42-1</f>
      </c>
      <c r="F45" s="34" t="s">
        <v>64</v>
      </c>
    </row>
    <row r="46" ht="17" customHeight="1" spans="1:6" x14ac:dyDescent="0.25">
      <c r="A46" s="110">
        <v>2034</v>
      </c>
      <c r="B46" s="108" t="s">
        <v>166</v>
      </c>
      <c r="C46" s="109">
        <f>E43*(1+E8/100)</f>
      </c>
      <c r="D46" s="34" t="s">
        <v>64</v>
      </c>
      <c r="E46" s="37">
        <f>C44/C43-1</f>
      </c>
      <c r="F46" s="34" t="s">
        <v>64</v>
      </c>
    </row>
    <row r="47" ht="17" customHeight="1" spans="1:6" x14ac:dyDescent="0.25">
      <c r="A47" s="110">
        <v>2035</v>
      </c>
      <c r="B47" s="108" t="s">
        <v>166</v>
      </c>
      <c r="C47" s="111">
        <f>E44*(1+E8/100)</f>
      </c>
      <c r="D47" s="34" t="s">
        <v>64</v>
      </c>
      <c r="E47" s="37">
        <f>C45/C44-1</f>
      </c>
      <c r="F47" s="34" t="s">
        <v>64</v>
      </c>
    </row>
    <row r="50" spans="1:6" x14ac:dyDescent="0.25">
      <c r="A50" s="112" t="s">
        <v>192</v>
      </c>
      <c r="B50" s="112"/>
      <c r="C50" s="112"/>
      <c r="D50" s="112"/>
      <c r="E50" s="112"/>
      <c r="F50" s="112"/>
    </row>
    <row r="51" spans="1:6" x14ac:dyDescent="0.25">
      <c r="A51" s="6" t="s">
        <v>193</v>
      </c>
      <c r="B51" s="6" t="s">
        <v>163</v>
      </c>
      <c r="C51" s="6" t="s">
        <v>164</v>
      </c>
      <c r="D51" s="6" t="s">
        <v>165</v>
      </c>
      <c r="E51" s="6" t="s">
        <v>166</v>
      </c>
      <c r="F51" s="6" t="s">
        <v>68</v>
      </c>
    </row>
    <row r="52" ht="19" customHeight="1" spans="1:6" x14ac:dyDescent="0.25">
      <c r="A52" s="113" t="s">
        <v>194</v>
      </c>
      <c r="B52" s="94" t="s">
        <v>168</v>
      </c>
      <c r="C52" s="114" t="s">
        <v>195</v>
      </c>
      <c r="D52" s="114" t="s">
        <v>196</v>
      </c>
      <c r="E52" s="114" t="s">
        <v>197</v>
      </c>
      <c r="F52" s="94" t="s">
        <v>198</v>
      </c>
    </row>
    <row r="53" ht="19" customHeight="1" spans="1:6" x14ac:dyDescent="0.25">
      <c r="A53" s="113" t="s">
        <v>199</v>
      </c>
      <c r="B53" s="94" t="s">
        <v>168</v>
      </c>
      <c r="C53" s="115" t="s">
        <v>200</v>
      </c>
      <c r="D53" s="115" t="s">
        <v>201</v>
      </c>
      <c r="E53" s="115" t="s">
        <v>202</v>
      </c>
      <c r="F53" s="94" t="s">
        <v>203</v>
      </c>
    </row>
    <row r="54" ht="19" customHeight="1" spans="1:6" x14ac:dyDescent="0.25">
      <c r="A54" s="113" t="s">
        <v>170</v>
      </c>
      <c r="B54" s="94" t="s">
        <v>171</v>
      </c>
      <c r="C54" s="114" t="s">
        <v>204</v>
      </c>
      <c r="D54" s="114" t="s">
        <v>205</v>
      </c>
      <c r="E54" s="114" t="s">
        <v>206</v>
      </c>
      <c r="F54" s="94" t="s">
        <v>203</v>
      </c>
    </row>
    <row r="55" ht="19" customHeight="1" spans="1:6" x14ac:dyDescent="0.25">
      <c r="A55" s="113" t="s">
        <v>207</v>
      </c>
      <c r="B55" s="94" t="s">
        <v>174</v>
      </c>
      <c r="C55" s="116" t="s">
        <v>208</v>
      </c>
      <c r="D55" s="116" t="s">
        <v>209</v>
      </c>
      <c r="E55" s="116" t="s">
        <v>210</v>
      </c>
      <c r="F55" s="94" t="s">
        <v>203</v>
      </c>
    </row>
    <row r="56" ht="19" customHeight="1" spans="1:6" x14ac:dyDescent="0.25">
      <c r="A56" s="113" t="s">
        <v>211</v>
      </c>
      <c r="B56" s="94" t="s">
        <v>174</v>
      </c>
      <c r="C56" s="117">
        <v>0.364</v>
      </c>
      <c r="D56" s="117">
        <v>0.424</v>
      </c>
      <c r="E56" s="117">
        <v>0.52</v>
      </c>
      <c r="F56" s="94" t="s">
        <v>212</v>
      </c>
    </row>
    <row r="57" ht="19" customHeight="1" spans="1:6" x14ac:dyDescent="0.25">
      <c r="A57" s="113" t="s">
        <v>213</v>
      </c>
      <c r="B57" s="94" t="s">
        <v>214</v>
      </c>
      <c r="C57" s="118">
        <v>5</v>
      </c>
      <c r="D57" s="118">
        <v>4</v>
      </c>
      <c r="E57" s="118">
        <v>3</v>
      </c>
      <c r="F57" s="94" t="s">
        <v>215</v>
      </c>
    </row>
    <row r="58" ht="19" customHeight="1" spans="1:6" x14ac:dyDescent="0.25">
      <c r="A58" s="113" t="s">
        <v>216</v>
      </c>
      <c r="B58" s="94" t="s">
        <v>168</v>
      </c>
      <c r="C58" s="114">
        <v>52.3</v>
      </c>
      <c r="D58" s="114">
        <v>81.7</v>
      </c>
      <c r="E58" s="114">
        <v>145.2</v>
      </c>
      <c r="F58" s="94" t="s">
        <v>217</v>
      </c>
    </row>
    <row r="59" ht="19" customHeight="1" spans="1:6" x14ac:dyDescent="0.25">
      <c r="A59" s="113" t="s">
        <v>218</v>
      </c>
      <c r="B59" s="94" t="s">
        <v>168</v>
      </c>
      <c r="C59" s="115" t="s">
        <v>219</v>
      </c>
      <c r="D59" s="115" t="s">
        <v>220</v>
      </c>
      <c r="E59" s="115" t="s">
        <v>221</v>
      </c>
      <c r="F59" s="94" t="s">
        <v>222</v>
      </c>
    </row>
  </sheetData>
  <mergeCells count="4">
    <mergeCell ref="A1:F1"/>
    <mergeCell ref="A3:F3"/>
    <mergeCell ref="A14:F14"/>
    <mergeCell ref="A50:F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4" customWidth="1"/>
    <col min="2" max="4" width="16" customWidth="1"/>
    <col min="5" max="5" width="24" customWidth="1"/>
  </cols>
  <sheetData>
    <row r="1" ht="32" customHeight="1" spans="1:5" x14ac:dyDescent="0.25">
      <c r="A1" s="119" t="s">
        <v>223</v>
      </c>
      <c r="B1" s="119"/>
      <c r="C1" s="119"/>
      <c r="D1" s="119"/>
      <c r="E1" s="119"/>
    </row>
    <row r="2" spans="1:5" x14ac:dyDescent="0.25">
      <c r="A2" s="120" t="s">
        <v>224</v>
      </c>
      <c r="B2" s="120"/>
      <c r="C2" s="120"/>
      <c r="D2" s="120"/>
      <c r="E2" s="120"/>
    </row>
    <row r="4" spans="1:5" x14ac:dyDescent="0.25">
      <c r="A4" s="121" t="s">
        <v>225</v>
      </c>
      <c r="B4" s="121"/>
      <c r="C4" s="121"/>
      <c r="D4" s="121"/>
      <c r="E4" s="121"/>
    </row>
    <row r="5" ht="22" customHeight="1" spans="1:5" x14ac:dyDescent="0.25">
      <c r="A5" s="122" t="s">
        <v>226</v>
      </c>
      <c r="B5" s="123" t="s">
        <v>227</v>
      </c>
      <c r="C5" s="124" t="s">
        <v>228</v>
      </c>
      <c r="D5" s="125" t="s">
        <v>64</v>
      </c>
      <c r="E5" s="125" t="s">
        <v>64</v>
      </c>
    </row>
    <row r="6" ht="22" customHeight="1" spans="1:5" x14ac:dyDescent="0.25">
      <c r="A6" s="126" t="s">
        <v>213</v>
      </c>
      <c r="B6" s="127" t="s">
        <v>229</v>
      </c>
      <c r="C6" s="128" t="s">
        <v>230</v>
      </c>
      <c r="D6" s="21" t="s">
        <v>64</v>
      </c>
      <c r="E6" s="21" t="s">
        <v>64</v>
      </c>
    </row>
    <row r="7" ht="22" customHeight="1" spans="1:5" x14ac:dyDescent="0.25">
      <c r="A7" s="122" t="s">
        <v>231</v>
      </c>
      <c r="B7" s="123" t="s">
        <v>232</v>
      </c>
      <c r="C7" s="124" t="s">
        <v>233</v>
      </c>
      <c r="D7" s="125" t="s">
        <v>64</v>
      </c>
      <c r="E7" s="125" t="s">
        <v>64</v>
      </c>
    </row>
    <row r="8" ht="22" customHeight="1" spans="1:5" x14ac:dyDescent="0.25">
      <c r="A8" s="126" t="s">
        <v>167</v>
      </c>
      <c r="B8" s="127" t="s">
        <v>234</v>
      </c>
      <c r="C8" s="128" t="s">
        <v>235</v>
      </c>
      <c r="D8" s="21" t="s">
        <v>64</v>
      </c>
      <c r="E8" s="21" t="s">
        <v>64</v>
      </c>
    </row>
    <row r="9" ht="22" customHeight="1" spans="1:5" x14ac:dyDescent="0.25">
      <c r="A9" s="122" t="s">
        <v>236</v>
      </c>
      <c r="B9" s="123" t="s">
        <v>237</v>
      </c>
      <c r="C9" s="124" t="s">
        <v>230</v>
      </c>
      <c r="D9" s="125" t="s">
        <v>64</v>
      </c>
      <c r="E9" s="125" t="s">
        <v>64</v>
      </c>
    </row>
    <row r="11" spans="1:5" x14ac:dyDescent="0.25">
      <c r="A11" s="112" t="s">
        <v>238</v>
      </c>
      <c r="B11" s="112"/>
      <c r="C11" s="112"/>
      <c r="D11" s="112"/>
      <c r="E11" s="112"/>
    </row>
    <row r="12" spans="1:5" x14ac:dyDescent="0.25">
      <c r="A12" s="6" t="s">
        <v>84</v>
      </c>
      <c r="B12" s="6" t="s">
        <v>85</v>
      </c>
      <c r="C12" s="6" t="s">
        <v>239</v>
      </c>
      <c r="D12" s="6" t="s">
        <v>240</v>
      </c>
      <c r="E12" s="6" t="s">
        <v>155</v>
      </c>
    </row>
    <row r="13" ht="20" customHeight="1" spans="1:5" x14ac:dyDescent="0.25">
      <c r="A13" s="32" t="s">
        <v>96</v>
      </c>
      <c r="B13" s="34">
        <f>PriorityMatrix!B4</f>
      </c>
      <c r="C13" s="129">
        <f>PriorityMatrix!K4</f>
      </c>
      <c r="D13" s="36">
        <f>PriorityMatrix!I4</f>
      </c>
      <c r="E13" s="37">
        <f>PriorityMatrix!J4</f>
      </c>
    </row>
    <row r="14" ht="20" customHeight="1" spans="1:5" x14ac:dyDescent="0.25">
      <c r="A14" s="39" t="s">
        <v>99</v>
      </c>
      <c r="B14" s="41">
        <f>PriorityMatrix!B5</f>
      </c>
      <c r="C14" s="130">
        <f>PriorityMatrix!K5</f>
      </c>
      <c r="D14" s="43">
        <f>PriorityMatrix!I5</f>
      </c>
      <c r="E14" s="44">
        <f>PriorityMatrix!J5</f>
      </c>
    </row>
    <row r="15" ht="20" customHeight="1" spans="1:5" x14ac:dyDescent="0.25">
      <c r="A15" s="131" t="s">
        <v>102</v>
      </c>
      <c r="B15" s="27">
        <f>PriorityMatrix!B6</f>
      </c>
      <c r="C15" s="48">
        <f>PriorityMatrix!K6</f>
      </c>
      <c r="D15" s="49">
        <f>PriorityMatrix!I6</f>
      </c>
      <c r="E15" s="50">
        <f>PriorityMatrix!J6</f>
      </c>
    </row>
    <row r="16" ht="20" customHeight="1" spans="1:5" x14ac:dyDescent="0.25">
      <c r="A16" s="132" t="s">
        <v>105</v>
      </c>
      <c r="B16" s="28">
        <f>PriorityMatrix!B7</f>
      </c>
      <c r="C16" s="54">
        <f>PriorityMatrix!K7</f>
      </c>
      <c r="D16" s="55">
        <f>PriorityMatrix!I7</f>
      </c>
      <c r="E16" s="56">
        <f>PriorityMatrix!J7</f>
      </c>
    </row>
    <row r="17" ht="20" customHeight="1" spans="1:5" x14ac:dyDescent="0.25">
      <c r="A17" s="131" t="s">
        <v>108</v>
      </c>
      <c r="B17" s="27">
        <f>PriorityMatrix!B8</f>
      </c>
      <c r="C17" s="48">
        <f>PriorityMatrix!K8</f>
      </c>
      <c r="D17" s="49">
        <f>PriorityMatrix!I8</f>
      </c>
      <c r="E17" s="50">
        <f>PriorityMatrix!J8</f>
      </c>
    </row>
    <row r="18" ht="20" customHeight="1" spans="1:5" x14ac:dyDescent="0.25">
      <c r="A18" s="132" t="s">
        <v>111</v>
      </c>
      <c r="B18" s="28">
        <f>PriorityMatrix!B9</f>
      </c>
      <c r="C18" s="54">
        <f>PriorityMatrix!K9</f>
      </c>
      <c r="D18" s="55">
        <f>PriorityMatrix!I9</f>
      </c>
      <c r="E18" s="56">
        <f>PriorityMatrix!J9</f>
      </c>
    </row>
    <row r="20" spans="1:5" x14ac:dyDescent="0.25">
      <c r="A20" s="112" t="s">
        <v>241</v>
      </c>
      <c r="B20" s="112"/>
      <c r="C20" s="112"/>
      <c r="D20" s="112"/>
      <c r="E20" s="112"/>
    </row>
    <row r="21" spans="1:5" x14ac:dyDescent="0.25">
      <c r="A21" s="9" t="s">
        <v>85</v>
      </c>
      <c r="B21" s="9" t="s">
        <v>242</v>
      </c>
      <c r="C21" s="9" t="s">
        <v>243</v>
      </c>
      <c r="D21" s="9" t="s">
        <v>244</v>
      </c>
      <c r="E21" s="9" t="s">
        <v>155</v>
      </c>
    </row>
    <row r="22" ht="18" customHeight="1" spans="1:5" x14ac:dyDescent="0.25">
      <c r="A22" s="38">
        <f>MarketGrowth!A4</f>
      </c>
      <c r="B22" s="36">
        <f>MarketGrowth!D4</f>
      </c>
      <c r="C22" s="36">
        <f>MarketGrowth!H4</f>
      </c>
      <c r="D22" s="36">
        <f>MarketGrowth!M4</f>
      </c>
      <c r="E22" s="37">
        <f>MarketGrowth!C4</f>
      </c>
    </row>
    <row r="23" ht="18" customHeight="1" spans="1:5" x14ac:dyDescent="0.25">
      <c r="A23" s="45">
        <f>MarketGrowth!A5</f>
      </c>
      <c r="B23" s="43">
        <f>MarketGrowth!D5</f>
      </c>
      <c r="C23" s="43">
        <f>MarketGrowth!H5</f>
      </c>
      <c r="D23" s="43">
        <f>MarketGrowth!M5</f>
      </c>
      <c r="E23" s="44">
        <f>MarketGrowth!C5</f>
      </c>
    </row>
    <row r="24" ht="18" customHeight="1" spans="1:5" x14ac:dyDescent="0.25">
      <c r="A24" s="51">
        <f>MarketGrowth!A6</f>
      </c>
      <c r="B24" s="49">
        <f>MarketGrowth!D6</f>
      </c>
      <c r="C24" s="49">
        <f>MarketGrowth!H6</f>
      </c>
      <c r="D24" s="49">
        <f>MarketGrowth!M6</f>
      </c>
      <c r="E24" s="50">
        <f>MarketGrowth!C6</f>
      </c>
    </row>
    <row r="25" ht="18" customHeight="1" spans="1:5" x14ac:dyDescent="0.25">
      <c r="A25" s="57">
        <f>MarketGrowth!A7</f>
      </c>
      <c r="B25" s="55">
        <f>MarketGrowth!D7</f>
      </c>
      <c r="C25" s="55">
        <f>MarketGrowth!H7</f>
      </c>
      <c r="D25" s="55">
        <f>MarketGrowth!M7</f>
      </c>
      <c r="E25" s="56">
        <f>MarketGrowth!C7</f>
      </c>
    </row>
    <row r="26" ht="18" customHeight="1" spans="1:5" x14ac:dyDescent="0.25">
      <c r="A26" s="51">
        <f>MarketGrowth!A8</f>
      </c>
      <c r="B26" s="49">
        <f>MarketGrowth!D8</f>
      </c>
      <c r="C26" s="49">
        <f>MarketGrowth!H8</f>
      </c>
      <c r="D26" s="49">
        <f>MarketGrowth!M8</f>
      </c>
      <c r="E26" s="50">
        <f>MarketGrowth!C8</f>
      </c>
    </row>
    <row r="27" ht="18" customHeight="1" spans="1:5" x14ac:dyDescent="0.25">
      <c r="A27" s="57">
        <f>MarketGrowth!A9</f>
      </c>
      <c r="B27" s="55">
        <f>MarketGrowth!D9</f>
      </c>
      <c r="C27" s="55">
        <f>MarketGrowth!H9</f>
      </c>
      <c r="D27" s="55">
        <f>MarketGrowth!M9</f>
      </c>
      <c r="E27" s="56">
        <f>MarketGrowth!C9</f>
      </c>
    </row>
  </sheetData>
  <mergeCells count="5">
    <mergeCell ref="A1:E1"/>
    <mergeCell ref="A2:E2"/>
    <mergeCell ref="A4:E4"/>
    <mergeCell ref="A11:E11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EvalCriteria</vt:lpstr>
      <vt:lpstr>PriorityMatrix</vt:lpstr>
      <vt:lpstr>MarketGrowth</vt:lpstr>
      <vt:lpstr>KPI_Scenario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B★ Project Team</dc:creator>
  <dc:title/>
  <dc:subject/>
  <dc:description/>
  <cp:keywords/>
  <cp:category/>
  <cp:lastModifiedBy>Unknown</cp:lastModifiedBy>
  <dcterms:created xsi:type="dcterms:W3CDTF">2026-03-15T00:00:00Z</dcterms:created>
  <dcterms:modified xsi:type="dcterms:W3CDTF">2026-03-15T00:00:00Z</dcterms:modified>
</cp:coreProperties>
</file>